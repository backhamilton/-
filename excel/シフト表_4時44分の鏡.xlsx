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日目 10-31" sheetId="1" state="visible" r:id="rId3"/>
    <sheet name="2日目 11-1" sheetId="2" state="visible" r:id="rId4"/>
    <sheet name="メンバー一覧" sheetId="3" state="visible" r:id="rId5"/>
    <sheet name="役割の説明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<sst xmlns="http://schemas.openxmlformats.org/spreadsheetml/2006/main" count="320" uniqueCount="127">
  <si>
    <r>
      <rPr>
        <b val="true"/>
        <sz val="14"/>
        <color rgb="FF000000"/>
        <rFont val="Arial"/>
        <family val="0"/>
        <charset val="1"/>
      </rPr>
      <t xml:space="preserve">1</t>
    </r>
    <r>
      <rPr>
        <b val="true"/>
        <sz val="14"/>
        <color rgb="FF000000"/>
        <rFont val="WenQuanYi Zen Hei"/>
        <family val="2"/>
      </rPr>
      <t xml:space="preserve">日目　</t>
    </r>
    <r>
      <rPr>
        <b val="true"/>
        <sz val="14"/>
        <color rgb="FF000000"/>
        <rFont val="Arial"/>
        <family val="0"/>
        <charset val="1"/>
      </rPr>
      <t xml:space="preserve">10/31</t>
    </r>
    <r>
      <rPr>
        <b val="true"/>
        <sz val="14"/>
        <color rgb="FF000000"/>
        <rFont val="WenQuanYi Zen Hei"/>
        <family val="2"/>
      </rPr>
      <t xml:space="preserve">（土）シフト表　営業 </t>
    </r>
    <r>
      <rPr>
        <b val="true"/>
        <sz val="14"/>
        <color rgb="FF000000"/>
        <rFont val="Arial"/>
        <family val="0"/>
        <charset val="1"/>
      </rPr>
      <t xml:space="preserve">10:00</t>
    </r>
    <r>
      <rPr>
        <b val="true"/>
        <sz val="14"/>
        <color rgb="FF000000"/>
        <rFont val="WenQuanYi Zen Hei"/>
        <family val="2"/>
      </rPr>
      <t xml:space="preserve">〜</t>
    </r>
    <r>
      <rPr>
        <b val="true"/>
        <sz val="14"/>
        <color rgb="FF000000"/>
        <rFont val="Arial"/>
        <family val="0"/>
        <charset val="1"/>
      </rPr>
      <t xml:space="preserve">14:00</t>
    </r>
    <r>
      <rPr>
        <b val="true"/>
        <sz val="14"/>
        <color rgb="FF000000"/>
        <rFont val="WenQuanYi Zen Hei"/>
        <family val="2"/>
      </rPr>
      <t xml:space="preserve">（</t>
    </r>
    <r>
      <rPr>
        <b val="true"/>
        <sz val="14"/>
        <color rgb="FF000000"/>
        <rFont val="Arial"/>
        <family val="0"/>
        <charset val="1"/>
      </rPr>
      <t xml:space="preserve">14:00</t>
    </r>
    <r>
      <rPr>
        <b val="true"/>
        <sz val="14"/>
        <color rgb="FF000000"/>
        <rFont val="WenQuanYi Zen Hei"/>
        <family val="2"/>
      </rPr>
      <t xml:space="preserve">までに全組退出）</t>
    </r>
  </si>
  <si>
    <r>
      <rPr>
        <sz val="10"/>
        <color rgb="FF444444"/>
        <rFont val="WenQuanYi Zen Hei"/>
        <family val="2"/>
      </rPr>
      <t xml:space="preserve">黄色のセルに名前を入力してください。</t>
    </r>
    <r>
      <rPr>
        <sz val="10"/>
        <color rgb="FF444444"/>
        <rFont val="Arial"/>
        <family val="0"/>
        <charset val="1"/>
      </rPr>
      <t xml:space="preserve">1</t>
    </r>
    <r>
      <rPr>
        <sz val="10"/>
        <color rgb="FF444444"/>
        <rFont val="WenQuanYi Zen Hei"/>
        <family val="2"/>
      </rPr>
      <t xml:space="preserve">つのセルに</t>
    </r>
    <r>
      <rPr>
        <sz val="10"/>
        <color rgb="FF444444"/>
        <rFont val="Arial"/>
        <family val="0"/>
        <charset val="1"/>
      </rPr>
      <t xml:space="preserve">1</t>
    </r>
    <r>
      <rPr>
        <sz val="10"/>
        <color rgb="FF444444"/>
        <rFont val="WenQuanYi Zen Hei"/>
        <family val="2"/>
      </rPr>
      <t xml:space="preserve">人。例）受付① → 山田 花子</t>
    </r>
  </si>
  <si>
    <r>
      <rPr>
        <sz val="10"/>
        <color rgb="FF444444"/>
        <rFont val="WenQuanYi Zen Hei"/>
        <family val="2"/>
      </rPr>
      <t xml:space="preserve">同じシフトに同じ名前が</t>
    </r>
    <r>
      <rPr>
        <sz val="10"/>
        <color rgb="FF444444"/>
        <rFont val="Arial"/>
        <family val="0"/>
        <charset val="1"/>
      </rPr>
      <t xml:space="preserve">2</t>
    </r>
    <r>
      <rPr>
        <sz val="10"/>
        <color rgb="FF444444"/>
        <rFont val="WenQuanYi Zen Hei"/>
        <family val="2"/>
      </rPr>
      <t xml:space="preserve">回入ると、右の欄に「重複」と表示されます。交代表とスイッチ番は、上の配置表から自動で入ります。</t>
    </r>
  </si>
  <si>
    <t xml:space="preserve">場所</t>
  </si>
  <si>
    <t xml:space="preserve">役割</t>
  </si>
  <si>
    <t xml:space="preserve">仕事内容</t>
  </si>
  <si>
    <r>
      <rPr>
        <b val="true"/>
        <sz val="10"/>
        <color rgb="FF000000"/>
        <rFont val="WenQuanYi Zen Hei"/>
        <family val="2"/>
      </rPr>
      <t xml:space="preserve">午前シフト（</t>
    </r>
    <r>
      <rPr>
        <b val="true"/>
        <sz val="10"/>
        <color rgb="FF000000"/>
        <rFont val="Arial"/>
        <family val="0"/>
        <charset val="1"/>
      </rPr>
      <t xml:space="preserve">9:15</t>
    </r>
    <r>
      <rPr>
        <b val="true"/>
        <sz val="10"/>
        <color rgb="FF000000"/>
        <rFont val="WenQuanYi Zen Hei"/>
        <family val="2"/>
      </rPr>
      <t xml:space="preserve">集合〜</t>
    </r>
    <r>
      <rPr>
        <b val="true"/>
        <sz val="10"/>
        <color rgb="FF000000"/>
        <rFont val="Arial"/>
        <family val="0"/>
        <charset val="1"/>
      </rPr>
      <t xml:space="preserve">12:00</t>
    </r>
    <r>
      <rPr>
        <b val="true"/>
        <sz val="10"/>
        <color rgb="FF000000"/>
        <rFont val="WenQuanYi Zen Hei"/>
        <family val="2"/>
      </rPr>
      <t xml:space="preserve">交代）</t>
    </r>
  </si>
  <si>
    <r>
      <rPr>
        <b val="true"/>
        <sz val="10"/>
        <color rgb="FF000000"/>
        <rFont val="WenQuanYi Zen Hei"/>
        <family val="2"/>
      </rPr>
      <t xml:space="preserve">午後シフト（</t>
    </r>
    <r>
      <rPr>
        <b val="true"/>
        <sz val="10"/>
        <color rgb="FF000000"/>
        <rFont val="Arial"/>
        <family val="0"/>
        <charset val="1"/>
      </rPr>
      <t xml:space="preserve">11:30</t>
    </r>
    <r>
      <rPr>
        <b val="true"/>
        <sz val="10"/>
        <color rgb="FF000000"/>
        <rFont val="WenQuanYi Zen Hei"/>
        <family val="2"/>
      </rPr>
      <t xml:space="preserve">集合〜片付け）</t>
    </r>
  </si>
  <si>
    <t xml:space="preserve">午前 重複</t>
  </si>
  <si>
    <t xml:space="preserve">午後 重複</t>
  </si>
  <si>
    <t xml:space="preserve">受付</t>
  </si>
  <si>
    <t xml:space="preserve">受付①</t>
  </si>
  <si>
    <t xml:space="preserve">整理券の配布・確認、注意事項の説明、ライトを渡す、ゆるめの判断</t>
  </si>
  <si>
    <t xml:space="preserve">受付②</t>
  </si>
  <si>
    <t xml:space="preserve">同上。待機列が混んだときの案内</t>
  </si>
  <si>
    <t xml:space="preserve">受付の教室</t>
  </si>
  <si>
    <t xml:space="preserve">待機列・導入係①</t>
  </si>
  <si>
    <r>
      <rPr>
        <sz val="10"/>
        <color rgb="FF000000"/>
        <rFont val="WenQuanYi Zen Hei"/>
        <family val="2"/>
      </rPr>
      <t xml:space="preserve">導入動画を流す（前の組が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部屋目に入って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分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秒後）、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部屋目へ送る。スイッチ番を兼ねる</t>
    </r>
  </si>
  <si>
    <t xml:space="preserve">待機列係②</t>
  </si>
  <si>
    <t xml:space="preserve">待機列の整理、なぞなぞ・掲示の案内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</si>
  <si>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部屋目</t>
    </r>
  </si>
  <si>
    <r>
      <rPr>
        <sz val="10"/>
        <color rgb="FF000000"/>
        <rFont val="WenQuanYi Zen Hei"/>
        <family val="2"/>
      </rPr>
      <t xml:space="preserve">花子役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分交代）</t>
    </r>
  </si>
  <si>
    <t xml:space="preserve">生の声（ささやき声）で花子を演じる</t>
  </si>
  <si>
    <r>
      <rPr>
        <sz val="10"/>
        <color rgb="FF000000"/>
        <rFont val="WenQuanYi Zen Hei"/>
        <family val="2"/>
      </rPr>
      <t xml:space="preserve">花子役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分交代）</t>
    </r>
  </si>
  <si>
    <t xml:space="preserve">出番でないときはスイッチ番（懐中電灯・インカムを持って待機）</t>
  </si>
  <si>
    <r>
      <rPr>
        <sz val="10"/>
        <color rgb="FF000000"/>
        <rFont val="WenQuanYi Zen Hei"/>
        <family val="2"/>
      </rPr>
      <t xml:space="preserve">個室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の係</t>
    </r>
  </si>
  <si>
    <t xml:space="preserve">ノック返し、時間の合図、リセット時にお守りを置く、インカム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</si>
  <si>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部屋目</t>
    </r>
  </si>
  <si>
    <r>
      <rPr>
        <sz val="10"/>
        <color rgb="FF000000"/>
        <rFont val="WenQuanYi Zen Hei"/>
        <family val="2"/>
      </rPr>
      <t xml:space="preserve">テケテケ役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分交代）</t>
    </r>
  </si>
  <si>
    <r>
      <rPr>
        <sz val="10"/>
        <color rgb="FF000000"/>
        <rFont val="WenQuanYi Zen Hei"/>
        <family val="2"/>
      </rPr>
      <t xml:space="preserve">客の後ろからだけ追う・</t>
    </r>
    <r>
      <rPr>
        <sz val="10"/>
        <color rgb="FF000000"/>
        <rFont val="Arial"/>
        <family val="0"/>
        <charset val="1"/>
      </rPr>
      <t xml:space="preserve">2m</t>
    </r>
    <r>
      <rPr>
        <sz val="10"/>
        <color rgb="FF000000"/>
        <rFont val="WenQuanYi Zen Hei"/>
        <family val="2"/>
      </rPr>
      <t xml:space="preserve">以上離れる・客が止まったら止まる</t>
    </r>
  </si>
  <si>
    <r>
      <rPr>
        <sz val="10"/>
        <color rgb="FF000000"/>
        <rFont val="WenQuanYi Zen Hei"/>
        <family val="2"/>
      </rPr>
      <t xml:space="preserve">テケテケ役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分交代）</t>
    </r>
  </si>
  <si>
    <t xml:space="preserve">物音係</t>
  </si>
  <si>
    <t xml:space="preserve">物音・音声の再生、落ちる足、お供え箱の鈴の確認</t>
  </si>
  <si>
    <t xml:space="preserve">扉係</t>
  </si>
  <si>
    <t xml:space="preserve">お守りを納めない組への声かけ、扉を開ける</t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</si>
  <si>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部屋目</t>
    </r>
  </si>
  <si>
    <t xml:space="preserve">花子役</t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</si>
  <si>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つ目の欠片が取られたら（「……もう、どこにも行かせない」の音声が合図）動き出す。歩いて追い、床の印で止まる</t>
    </r>
  </si>
  <si>
    <t xml:space="preserve">光・音係</t>
  </si>
  <si>
    <t xml:space="preserve">欠片を数えて音声を流す、鏡を光らせる、机を引っ張る、スイッチ番を兼ねる</t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</si>
  <si>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部屋目・出口</t>
    </r>
  </si>
  <si>
    <t xml:space="preserve">出口係</t>
  </si>
  <si>
    <t xml:space="preserve">出口の案内、ライト回収、鏡をはめられなかった組の案内</t>
  </si>
  <si>
    <t xml:space="preserve">全体</t>
  </si>
  <si>
    <t xml:space="preserve">遊撃・リーダー</t>
  </si>
  <si>
    <t xml:space="preserve">休憩の交代、トラブル対応、お守りの運搬</t>
  </si>
  <si>
    <r>
      <rPr>
        <b val="true"/>
        <sz val="10"/>
        <color rgb="FF000000"/>
        <rFont val="WenQuanYi Zen Hei"/>
        <family val="2"/>
      </rPr>
      <t xml:space="preserve">入力済みの人数（</t>
    </r>
    <r>
      <rPr>
        <b val="true"/>
        <sz val="10"/>
        <color rgb="FF000000"/>
        <rFont val="Arial"/>
        <family val="0"/>
        <charset val="1"/>
      </rPr>
      <t xml:space="preserve">15</t>
    </r>
    <r>
      <rPr>
        <b val="true"/>
        <sz val="10"/>
        <color rgb="FF000000"/>
        <rFont val="WenQuanYi Zen Hei"/>
        <family val="2"/>
      </rPr>
      <t xml:space="preserve">人で全員）</t>
    </r>
  </si>
  <si>
    <r>
      <rPr>
        <b val="true"/>
        <sz val="11"/>
        <color rgb="FF000000"/>
        <rFont val="Arial"/>
        <family val="0"/>
        <charset val="1"/>
      </rPr>
      <t xml:space="preserve">30</t>
    </r>
    <r>
      <rPr>
        <b val="true"/>
        <sz val="11"/>
        <color rgb="FF000000"/>
        <rFont val="WenQuanYi Zen Hei"/>
        <family val="2"/>
      </rPr>
      <t xml:space="preserve">分交代表（交代はリセットの</t>
    </r>
    <r>
      <rPr>
        <b val="true"/>
        <sz val="11"/>
        <color rgb="FF000000"/>
        <rFont val="Arial"/>
        <family val="0"/>
        <charset val="1"/>
      </rPr>
      <t xml:space="preserve">30</t>
    </r>
    <r>
      <rPr>
        <b val="true"/>
        <sz val="11"/>
        <color rgb="FF000000"/>
        <rFont val="WenQuanYi Zen Hei"/>
        <family val="2"/>
      </rPr>
      <t xml:space="preserve">秒の間に。インカムで「テケテケ、交代」「花子、交代」）</t>
    </r>
  </si>
  <si>
    <t xml:space="preserve">時刻</t>
  </si>
  <si>
    <t xml:space="preserve">シフト</t>
  </si>
  <si>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部屋目 花子（出番）</t>
    </r>
  </si>
  <si>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部屋目 スイッチ番（休み）</t>
    </r>
  </si>
  <si>
    <r>
      <rPr>
        <b val="true"/>
        <sz val="10"/>
        <color rgb="FF000000"/>
        <rFont val="Arial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部屋目 テケテケ（出番）</t>
    </r>
  </si>
  <si>
    <r>
      <rPr>
        <b val="true"/>
        <sz val="10"/>
        <color rgb="FF000000"/>
        <rFont val="Arial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部屋目 スイッチ番（休み）</t>
    </r>
  </si>
  <si>
    <t xml:space="preserve">10:00</t>
  </si>
  <si>
    <t xml:space="preserve">午前</t>
  </si>
  <si>
    <t xml:space="preserve">10:30</t>
  </si>
  <si>
    <t xml:space="preserve">11:00</t>
  </si>
  <si>
    <t xml:space="preserve">11:30</t>
  </si>
  <si>
    <t xml:space="preserve">12:00</t>
  </si>
  <si>
    <t xml:space="preserve">午後</t>
  </si>
  <si>
    <t xml:space="preserve">12:30</t>
  </si>
  <si>
    <t xml:space="preserve">13:00</t>
  </si>
  <si>
    <t xml:space="preserve">13:30</t>
  </si>
  <si>
    <r>
      <rPr>
        <b val="true"/>
        <sz val="11"/>
        <color rgb="FF000000"/>
        <rFont val="WenQuanYi Zen Hei"/>
        <family val="2"/>
      </rPr>
      <t xml:space="preserve">スイッチ番（照明スイッチの前に常に</t>
    </r>
    <r>
      <rPr>
        <b val="true"/>
        <sz val="11"/>
        <color rgb="FF000000"/>
        <rFont val="Arial"/>
        <family val="0"/>
        <charset val="1"/>
      </rPr>
      <t xml:space="preserve">1</t>
    </r>
    <r>
      <rPr>
        <b val="true"/>
        <sz val="11"/>
        <color rgb="FF000000"/>
        <rFont val="WenQuanYi Zen Hei"/>
        <family val="2"/>
      </rPr>
      <t xml:space="preserve">人。懐中電灯を持つ）</t>
    </r>
  </si>
  <si>
    <t xml:space="preserve">部屋</t>
  </si>
  <si>
    <t xml:space="preserve">スイッチ番</t>
  </si>
  <si>
    <t xml:space="preserve">花子役の休み番（上の交代表）</t>
  </si>
  <si>
    <t xml:space="preserve">交代表を参照</t>
  </si>
  <si>
    <t xml:space="preserve">テケテケ役の休み番（上の交代表）</t>
  </si>
  <si>
    <t xml:space="preserve">タイムスケジュール</t>
  </si>
  <si>
    <t xml:space="preserve">内容</t>
  </si>
  <si>
    <t xml:space="preserve">9:15</t>
  </si>
  <si>
    <t xml:space="preserve">全員集合・着替え</t>
  </si>
  <si>
    <t xml:space="preserve">9:30</t>
  </si>
  <si>
    <t xml:space="preserve">点検（照明・音・電池・インカム、テケテケの通路の掃除、お守りの数）</t>
  </si>
  <si>
    <t xml:space="preserve">9:50</t>
  </si>
  <si>
    <r>
      <rPr>
        <sz val="10"/>
        <color rgb="FF000000"/>
        <rFont val="WenQuanYi Zen Hei"/>
        <family val="2"/>
      </rPr>
      <t xml:space="preserve">係だけで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組分の通し</t>
    </r>
  </si>
  <si>
    <t xml:space="preserve">9:55</t>
  </si>
  <si>
    <r>
      <rPr>
        <sz val="10"/>
        <color rgb="FF000000"/>
        <rFont val="WenQuanYi Zen Hei"/>
        <family val="2"/>
      </rPr>
      <t xml:space="preserve">午後シフトは解散（</t>
    </r>
    <r>
      <rPr>
        <sz val="10"/>
        <color rgb="FF000000"/>
        <rFont val="Arial"/>
        <family val="0"/>
        <charset val="1"/>
      </rPr>
      <t xml:space="preserve">11:30</t>
    </r>
    <r>
      <rPr>
        <sz val="10"/>
        <color rgb="FF000000"/>
        <rFont val="WenQuanYi Zen Hei"/>
        <family val="2"/>
      </rPr>
      <t xml:space="preserve">まで自由・昼食）</t>
    </r>
  </si>
  <si>
    <t xml:space="preserve">入場開始・午前分の整理券を配り始める</t>
  </si>
  <si>
    <t xml:space="preserve">午後シフトが集合・着替え</t>
  </si>
  <si>
    <t xml:space="preserve">11:45</t>
  </si>
  <si>
    <t xml:space="preserve">午後シフトの打合せ</t>
  </si>
  <si>
    <r>
      <rPr>
        <sz val="10"/>
        <color rgb="FF000000"/>
        <rFont val="WenQuanYi Zen Hei"/>
        <family val="2"/>
      </rPr>
      <t xml:space="preserve">シフト交代（この枠だけ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組）・午後分の整理券を配り始める</t>
    </r>
  </si>
  <si>
    <t xml:space="preserve">12:10</t>
  </si>
  <si>
    <t xml:space="preserve">午前シフトは昼食・解散</t>
  </si>
  <si>
    <t xml:space="preserve">13:40</t>
  </si>
  <si>
    <r>
      <rPr>
        <sz val="10"/>
        <color rgb="FF000000"/>
        <rFont val="WenQuanYi Zen Hei"/>
        <family val="2"/>
      </rPr>
      <t xml:space="preserve">最後の枠（最後の組は</t>
    </r>
    <r>
      <rPr>
        <sz val="10"/>
        <color rgb="FF000000"/>
        <rFont val="Arial"/>
        <family val="0"/>
        <charset val="1"/>
      </rPr>
      <t xml:space="preserve">13:47:30</t>
    </r>
    <r>
      <rPr>
        <sz val="10"/>
        <color rgb="FF000000"/>
        <rFont val="WenQuanYi Zen Hei"/>
        <family val="2"/>
      </rPr>
      <t xml:space="preserve">に入場）</t>
    </r>
  </si>
  <si>
    <r>
      <rPr>
        <sz val="10"/>
        <color rgb="FF000000"/>
        <rFont val="Arial"/>
        <family val="0"/>
        <charset val="1"/>
      </rPr>
      <t xml:space="preserve">13:56</t>
    </r>
    <r>
      <rPr>
        <sz val="10"/>
        <color rgb="FF000000"/>
        <rFont val="WenQuanYi Zen Hei"/>
        <family val="2"/>
      </rPr>
      <t xml:space="preserve">ごろ</t>
    </r>
  </si>
  <si>
    <t xml:space="preserve">全組退出 → 片付け・反省会</t>
  </si>
  <si>
    <r>
      <rPr>
        <b val="true"/>
        <sz val="14"/>
        <color rgb="FF000000"/>
        <rFont val="Arial"/>
        <family val="0"/>
        <charset val="1"/>
      </rPr>
      <t xml:space="preserve">2</t>
    </r>
    <r>
      <rPr>
        <b val="true"/>
        <sz val="14"/>
        <color rgb="FF000000"/>
        <rFont val="WenQuanYi Zen Hei"/>
        <family val="2"/>
      </rPr>
      <t xml:space="preserve">日目　</t>
    </r>
    <r>
      <rPr>
        <b val="true"/>
        <sz val="14"/>
        <color rgb="FF000000"/>
        <rFont val="Arial"/>
        <family val="0"/>
        <charset val="1"/>
      </rPr>
      <t xml:space="preserve">11/1</t>
    </r>
    <r>
      <rPr>
        <b val="true"/>
        <sz val="14"/>
        <color rgb="FF000000"/>
        <rFont val="WenQuanYi Zen Hei"/>
        <family val="2"/>
      </rPr>
      <t xml:space="preserve">（日）シフト表　営業 </t>
    </r>
    <r>
      <rPr>
        <b val="true"/>
        <sz val="14"/>
        <color rgb="FF000000"/>
        <rFont val="Arial"/>
        <family val="0"/>
        <charset val="1"/>
      </rPr>
      <t xml:space="preserve">9:30</t>
    </r>
    <r>
      <rPr>
        <b val="true"/>
        <sz val="14"/>
        <color rgb="FF000000"/>
        <rFont val="WenQuanYi Zen Hei"/>
        <family val="2"/>
      </rPr>
      <t xml:space="preserve">〜</t>
    </r>
    <r>
      <rPr>
        <b val="true"/>
        <sz val="14"/>
        <color rgb="FF000000"/>
        <rFont val="Arial"/>
        <family val="0"/>
        <charset val="1"/>
      </rPr>
      <t xml:space="preserve">13:00</t>
    </r>
    <r>
      <rPr>
        <b val="true"/>
        <sz val="14"/>
        <color rgb="FF000000"/>
        <rFont val="WenQuanYi Zen Hei"/>
        <family val="2"/>
      </rPr>
      <t xml:space="preserve">（</t>
    </r>
    <r>
      <rPr>
        <b val="true"/>
        <sz val="14"/>
        <color rgb="FF000000"/>
        <rFont val="Arial"/>
        <family val="0"/>
        <charset val="1"/>
      </rPr>
      <t xml:space="preserve">13:00</t>
    </r>
    <r>
      <rPr>
        <b val="true"/>
        <sz val="14"/>
        <color rgb="FF000000"/>
        <rFont val="WenQuanYi Zen Hei"/>
        <family val="2"/>
      </rPr>
      <t xml:space="preserve">までに全組退出）</t>
    </r>
  </si>
  <si>
    <r>
      <rPr>
        <b val="true"/>
        <sz val="10"/>
        <color rgb="FF000000"/>
        <rFont val="WenQuanYi Zen Hei"/>
        <family val="2"/>
      </rPr>
      <t xml:space="preserve">午前シフト（</t>
    </r>
    <r>
      <rPr>
        <b val="true"/>
        <sz val="10"/>
        <color rgb="FF000000"/>
        <rFont val="Arial"/>
        <family val="0"/>
        <charset val="1"/>
      </rPr>
      <t xml:space="preserve">8:45</t>
    </r>
    <r>
      <rPr>
        <b val="true"/>
        <sz val="10"/>
        <color rgb="FF000000"/>
        <rFont val="WenQuanYi Zen Hei"/>
        <family val="2"/>
      </rPr>
      <t xml:space="preserve">集合〜</t>
    </r>
    <r>
      <rPr>
        <b val="true"/>
        <sz val="10"/>
        <color rgb="FF000000"/>
        <rFont val="Arial"/>
        <family val="0"/>
        <charset val="1"/>
      </rPr>
      <t xml:space="preserve">11:10</t>
    </r>
    <r>
      <rPr>
        <b val="true"/>
        <sz val="10"/>
        <color rgb="FF000000"/>
        <rFont val="WenQuanYi Zen Hei"/>
        <family val="2"/>
      </rPr>
      <t xml:space="preserve">交代）</t>
    </r>
  </si>
  <si>
    <r>
      <rPr>
        <b val="true"/>
        <sz val="10"/>
        <color rgb="FF000000"/>
        <rFont val="WenQuanYi Zen Hei"/>
        <family val="2"/>
      </rPr>
      <t xml:space="preserve">午後シフト（</t>
    </r>
    <r>
      <rPr>
        <b val="true"/>
        <sz val="10"/>
        <color rgb="FF000000"/>
        <rFont val="Arial"/>
        <family val="0"/>
        <charset val="1"/>
      </rPr>
      <t xml:space="preserve">10:40</t>
    </r>
    <r>
      <rPr>
        <b val="true"/>
        <sz val="10"/>
        <color rgb="FF000000"/>
        <rFont val="WenQuanYi Zen Hei"/>
        <family val="2"/>
      </rPr>
      <t xml:space="preserve">集合〜片付け）</t>
    </r>
  </si>
  <si>
    <t xml:space="preserve">11:10</t>
  </si>
  <si>
    <t xml:space="preserve">11:40</t>
  </si>
  <si>
    <t xml:space="preserve">12:40</t>
  </si>
  <si>
    <t xml:space="preserve">8:45</t>
  </si>
  <si>
    <t xml:space="preserve">9:00</t>
  </si>
  <si>
    <r>
      <rPr>
        <sz val="10"/>
        <color rgb="FF000000"/>
        <rFont val="WenQuanYi Zen Hei"/>
        <family val="2"/>
      </rPr>
      <t xml:space="preserve">点検（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日目の反省会で決めた変更点も確認）</t>
    </r>
  </si>
  <si>
    <t xml:space="preserve">9:20</t>
  </si>
  <si>
    <t xml:space="preserve">9:25</t>
  </si>
  <si>
    <r>
      <rPr>
        <sz val="10"/>
        <color rgb="FF000000"/>
        <rFont val="WenQuanYi Zen Hei"/>
        <family val="2"/>
      </rPr>
      <t xml:space="preserve">午後シフトは解散（</t>
    </r>
    <r>
      <rPr>
        <sz val="10"/>
        <color rgb="FF000000"/>
        <rFont val="Arial"/>
        <family val="0"/>
        <charset val="1"/>
      </rPr>
      <t xml:space="preserve">10:40</t>
    </r>
    <r>
      <rPr>
        <sz val="10"/>
        <color rgb="FF000000"/>
        <rFont val="WenQuanYi Zen Hei"/>
        <family val="2"/>
      </rPr>
      <t xml:space="preserve">まで自由）</t>
    </r>
  </si>
  <si>
    <t xml:space="preserve">入場開始・前半分の整理券を配り始める</t>
  </si>
  <si>
    <t xml:space="preserve">10:40</t>
  </si>
  <si>
    <t xml:space="preserve">10:55</t>
  </si>
  <si>
    <r>
      <rPr>
        <sz val="10"/>
        <color rgb="FF000000"/>
        <rFont val="WenQuanYi Zen Hei"/>
        <family val="2"/>
      </rPr>
      <t xml:space="preserve">シフト交代（この枠だけ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組）・後半分の整理券を配り始める</t>
    </r>
  </si>
  <si>
    <t xml:space="preserve">11:20</t>
  </si>
  <si>
    <r>
      <rPr>
        <sz val="10"/>
        <color rgb="FF000000"/>
        <rFont val="WenQuanYi Zen Hei"/>
        <family val="2"/>
      </rPr>
      <t xml:space="preserve">最後の枠（最後の組は</t>
    </r>
    <r>
      <rPr>
        <sz val="10"/>
        <color rgb="FF000000"/>
        <rFont val="Arial"/>
        <family val="0"/>
        <charset val="1"/>
      </rPr>
      <t xml:space="preserve">12:47:30</t>
    </r>
    <r>
      <rPr>
        <sz val="10"/>
        <color rgb="FF000000"/>
        <rFont val="WenQuanYi Zen Hei"/>
        <family val="2"/>
      </rPr>
      <t xml:space="preserve">に入場）</t>
    </r>
  </si>
  <si>
    <r>
      <rPr>
        <sz val="10"/>
        <color rgb="FF000000"/>
        <rFont val="Arial"/>
        <family val="0"/>
        <charset val="1"/>
      </rPr>
      <t xml:space="preserve">12:56</t>
    </r>
    <r>
      <rPr>
        <sz val="10"/>
        <color rgb="FF000000"/>
        <rFont val="WenQuanYi Zen Hei"/>
        <family val="2"/>
      </rPr>
      <t xml:space="preserve">ごろ</t>
    </r>
  </si>
  <si>
    <t xml:space="preserve">全組退出 → 片付け</t>
  </si>
  <si>
    <t xml:space="preserve">メンバー一覧（名前を入れると、何回シフトに入っているかが自動で出ます）</t>
  </si>
  <si>
    <r>
      <rPr>
        <sz val="10"/>
        <color rgb="FF444444"/>
        <rFont val="WenQuanYi Zen Hei"/>
        <family val="2"/>
      </rPr>
      <t xml:space="preserve">黄色のセルに、クラス全員の名前を</t>
    </r>
    <r>
      <rPr>
        <sz val="10"/>
        <color rgb="FF444444"/>
        <rFont val="Arial"/>
        <family val="0"/>
        <charset val="1"/>
      </rPr>
      <t xml:space="preserve">1</t>
    </r>
    <r>
      <rPr>
        <sz val="10"/>
        <color rgb="FF444444"/>
        <rFont val="WenQuanYi Zen Hei"/>
        <family val="2"/>
      </rPr>
      <t xml:space="preserve">行に</t>
    </r>
    <r>
      <rPr>
        <sz val="10"/>
        <color rgb="FF444444"/>
        <rFont val="Arial"/>
        <family val="0"/>
        <charset val="1"/>
      </rPr>
      <t xml:space="preserve">1</t>
    </r>
    <r>
      <rPr>
        <sz val="10"/>
        <color rgb="FF444444"/>
        <rFont val="WenQuanYi Zen Hei"/>
        <family val="2"/>
      </rPr>
      <t xml:space="preserve">人ずつ入れてください。例）山田 花子</t>
    </r>
  </si>
  <si>
    <t xml:space="preserve">名前</t>
  </si>
  <si>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日目の担当数</t>
    </r>
  </si>
  <si>
    <r>
      <rPr>
        <b val="true"/>
        <sz val="10"/>
        <color rgb="FF000000"/>
        <rFont val="Arial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日目の担当数</t>
    </r>
  </si>
  <si>
    <t xml:space="preserve">合計</t>
  </si>
  <si>
    <t xml:space="preserve">確認</t>
  </si>
  <si>
    <t xml:space="preserve">役割の説明と持ち物</t>
  </si>
  <si>
    <t xml:space="preserve">インカム</t>
  </si>
  <si>
    <t xml:space="preserve">懐中電灯</t>
  </si>
  <si>
    <t xml:space="preserve">○</t>
  </si>
  <si>
    <t xml:space="preserve">・インカムはイヤホンをつけて使う（客に聞こえないように）</t>
  </si>
  <si>
    <t xml:space="preserve">・花子役・テケテケ役の休み番は、スイッチ番として懐中電灯とインカムを持って待機する</t>
  </si>
  <si>
    <t xml:space="preserve">・「全体、点灯」で、各部屋のスイッチ番がすぐに照明をつける。リタイアのときも同じ</t>
  </si>
  <si>
    <r>
      <rPr>
        <sz val="10"/>
        <color rgb="FF000000"/>
        <rFont val="WenQuanYi Zen Hei"/>
        <family val="2"/>
      </rPr>
      <t xml:space="preserve">・インカムの台数は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台の想定。○の役割に優先して渡す</t>
    </r>
  </si>
  <si>
    <t xml:space="preserve">・この表の役割分担は、これまでの話し合いの内容をもとにした案です。チームで確認して直してください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</si>
</sst>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4"/>
      <color rgb="FF000000"/>
      <name val="WenQuanYi Zen Hei"/>
      <family val="2"/>
    </font>
    <font>
      <sz val="10"/>
      <color rgb="FF444444"/>
      <name val="WenQuanYi Zen Hei"/>
      <family val="2"/>
    </font>
    <font>
      <sz val="10"/>
      <color rgb="FF444444"/>
      <name val="Arial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000000"/>
      <name val="Arial"/>
      <family val="0"/>
      <charset val="1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5" min="4" style="0" width="24"/>
    <col collapsed="false" customWidth="true" hidden="false" outlineLevel="0" max="7" min="6" style="0" width="1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6.8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customFormat="false" ht="33.75" hidden="false" customHeight="true" outlineLevel="0" collapsed="false">
      <c r="A6" s="4" t="s">
        <v>10</v>
      </c>
      <c r="B6" s="5" t="s">
        <v>11</v>
      </c>
      <c r="C6" s="5" t="s">
        <v>12</v>
      </c>
      <c r="D6" s="6"/>
      <c r="E6" s="6"/>
      <c r="F6" s="7" t="str">
        <f aca="false">IF(D6="","",IF(COUNTIF($D$6:$D$20,D6)&gt;1,"重複",""))</f>
        <v/>
      </c>
      <c r="G6" s="7" t="str">
        <f aca="false">IF(E6="","",IF(COUNTIF($E$6:$E$20,E6)&gt;1,"重複",""))</f>
        <v/>
      </c>
    </row>
    <row r="7" customFormat="false" ht="33.75" hidden="false" customHeight="true" outlineLevel="0" collapsed="false">
      <c r="A7" s="4" t="s">
        <v>10</v>
      </c>
      <c r="B7" s="5" t="s">
        <v>13</v>
      </c>
      <c r="C7" s="5" t="s">
        <v>14</v>
      </c>
      <c r="D7" s="6"/>
      <c r="E7" s="6"/>
      <c r="F7" s="7" t="str">
        <f aca="false">IF(D7="","",IF(COUNTIF($D$6:$D$20,D7)&gt;1,"重複",""))</f>
        <v/>
      </c>
      <c r="G7" s="7" t="str">
        <f aca="false">IF(E7="","",IF(COUNTIF($E$6:$E$20,E7)&gt;1,"重複",""))</f>
        <v/>
      </c>
    </row>
    <row r="8" customFormat="false" ht="33.75" hidden="false" customHeight="true" outlineLevel="0" collapsed="false">
      <c r="A8" s="4" t="s">
        <v>15</v>
      </c>
      <c r="B8" s="5" t="s">
        <v>16</v>
      </c>
      <c r="C8" s="5" t="s">
        <v>17</v>
      </c>
      <c r="D8" s="6"/>
      <c r="E8" s="6"/>
      <c r="F8" s="7" t="str">
        <f aca="false">IF(D8="","",IF(COUNTIF($D$6:$D$20,D8)&gt;1,"重複",""))</f>
        <v/>
      </c>
      <c r="G8" s="7" t="str">
        <f aca="false">IF(E8="","",IF(COUNTIF($E$6:$E$20,E8)&gt;1,"重複",""))</f>
        <v/>
      </c>
    </row>
    <row r="9" customFormat="false" ht="33.75" hidden="false" customHeight="true" outlineLevel="0" collapsed="false">
      <c r="A9" s="4" t="s">
        <v>15</v>
      </c>
      <c r="B9" s="5" t="s">
        <v>18</v>
      </c>
      <c r="C9" s="5" t="s">
        <v>19</v>
      </c>
      <c r="D9" s="6"/>
      <c r="E9" s="6"/>
      <c r="F9" s="7" t="str">
        <f aca="false">IF(D9="","",IF(COUNTIF($D$6:$D$20,D9)&gt;1,"重複",""))</f>
        <v/>
      </c>
      <c r="G9" s="7" t="str">
        <f aca="false">IF(E9="","",IF(COUNTIF($E$6:$E$20,E9)&gt;1,"重複",""))</f>
        <v/>
      </c>
    </row>
    <row r="10" customFormat="false" ht="33.75" hidden="false" customHeight="true" outlineLevel="0" collapsed="false">
      <c r="A10" s="8" t="s">
        <v>20</v>
      </c>
      <c r="B10" s="5" t="s">
        <v>21</v>
      </c>
      <c r="C10" s="5" t="s">
        <v>22</v>
      </c>
      <c r="D10" s="6"/>
      <c r="E10" s="6"/>
      <c r="F10" s="7" t="str">
        <f aca="false">IF(D10="","",IF(COUNTIF($D$6:$D$20,D10)&gt;1,"重複",""))</f>
        <v/>
      </c>
      <c r="G10" s="7" t="str">
        <f aca="false">IF(E10="","",IF(COUNTIF($E$6:$E$20,E10)&gt;1,"重複",""))</f>
        <v/>
      </c>
    </row>
    <row r="11" customFormat="false" ht="33.75" hidden="false" customHeight="true" outlineLevel="0" collapsed="false">
      <c r="A11" s="8" t="s">
        <v>20</v>
      </c>
      <c r="B11" s="5" t="s">
        <v>23</v>
      </c>
      <c r="C11" s="5" t="s">
        <v>24</v>
      </c>
      <c r="D11" s="6"/>
      <c r="E11" s="6"/>
      <c r="F11" s="7" t="str">
        <f aca="false">IF(D11="","",IF(COUNTIF($D$6:$D$20,D11)&gt;1,"重複",""))</f>
        <v/>
      </c>
      <c r="G11" s="7" t="str">
        <f aca="false">IF(E11="","",IF(COUNTIF($E$6:$E$20,E11)&gt;1,"重複",""))</f>
        <v/>
      </c>
    </row>
    <row r="12" customFormat="false" ht="33.75" hidden="false" customHeight="true" outlineLevel="0" collapsed="false">
      <c r="A12" s="8" t="s">
        <v>20</v>
      </c>
      <c r="B12" s="5" t="s">
        <v>25</v>
      </c>
      <c r="C12" s="5" t="s">
        <v>26</v>
      </c>
      <c r="D12" s="6"/>
      <c r="E12" s="6"/>
      <c r="F12" s="7" t="str">
        <f aca="false">IF(D12="","",IF(COUNTIF($D$6:$D$20,D12)&gt;1,"重複",""))</f>
        <v/>
      </c>
      <c r="G12" s="7" t="str">
        <f aca="false">IF(E12="","",IF(COUNTIF($E$6:$E$20,E12)&gt;1,"重複",""))</f>
        <v/>
      </c>
    </row>
    <row r="13" customFormat="false" ht="33.75" hidden="false" customHeight="true" outlineLevel="0" collapsed="false">
      <c r="A13" s="8" t="s">
        <v>27</v>
      </c>
      <c r="B13" s="5" t="s">
        <v>28</v>
      </c>
      <c r="C13" s="5" t="s">
        <v>29</v>
      </c>
      <c r="D13" s="6"/>
      <c r="E13" s="6"/>
      <c r="F13" s="7" t="str">
        <f aca="false">IF(D13="","",IF(COUNTIF($D$6:$D$20,D13)&gt;1,"重複",""))</f>
        <v/>
      </c>
      <c r="G13" s="7" t="str">
        <f aca="false">IF(E13="","",IF(COUNTIF($E$6:$E$20,E13)&gt;1,"重複",""))</f>
        <v/>
      </c>
    </row>
    <row r="14" customFormat="false" ht="33.75" hidden="false" customHeight="true" outlineLevel="0" collapsed="false">
      <c r="A14" s="8" t="s">
        <v>27</v>
      </c>
      <c r="B14" s="5" t="s">
        <v>30</v>
      </c>
      <c r="C14" s="5" t="s">
        <v>24</v>
      </c>
      <c r="D14" s="6"/>
      <c r="E14" s="6"/>
      <c r="F14" s="7" t="str">
        <f aca="false">IF(D14="","",IF(COUNTIF($D$6:$D$20,D14)&gt;1,"重複",""))</f>
        <v/>
      </c>
      <c r="G14" s="7" t="str">
        <f aca="false">IF(E14="","",IF(COUNTIF($E$6:$E$20,E14)&gt;1,"重複",""))</f>
        <v/>
      </c>
    </row>
    <row r="15" customFormat="false" ht="33.75" hidden="false" customHeight="true" outlineLevel="0" collapsed="false">
      <c r="A15" s="8" t="s">
        <v>27</v>
      </c>
      <c r="B15" s="5" t="s">
        <v>31</v>
      </c>
      <c r="C15" s="5" t="s">
        <v>32</v>
      </c>
      <c r="D15" s="6"/>
      <c r="E15" s="6"/>
      <c r="F15" s="7" t="str">
        <f aca="false">IF(D15="","",IF(COUNTIF($D$6:$D$20,D15)&gt;1,"重複",""))</f>
        <v/>
      </c>
      <c r="G15" s="7" t="str">
        <f aca="false">IF(E15="","",IF(COUNTIF($E$6:$E$20,E15)&gt;1,"重複",""))</f>
        <v/>
      </c>
    </row>
    <row r="16" customFormat="false" ht="33.75" hidden="false" customHeight="true" outlineLevel="0" collapsed="false">
      <c r="A16" s="8" t="s">
        <v>27</v>
      </c>
      <c r="B16" s="5" t="s">
        <v>33</v>
      </c>
      <c r="C16" s="5" t="s">
        <v>34</v>
      </c>
      <c r="D16" s="6"/>
      <c r="E16" s="6"/>
      <c r="F16" s="7" t="str">
        <f aca="false">IF(D16="","",IF(COUNTIF($D$6:$D$20,D16)&gt;1,"重複",""))</f>
        <v/>
      </c>
      <c r="G16" s="7" t="str">
        <f aca="false">IF(E16="","",IF(COUNTIF($E$6:$E$20,E16)&gt;1,"重複",""))</f>
        <v/>
      </c>
    </row>
    <row r="17" customFormat="false" ht="33.75" hidden="false" customHeight="true" outlineLevel="0" collapsed="false">
      <c r="A17" s="8" t="s">
        <v>35</v>
      </c>
      <c r="B17" s="5" t="s">
        <v>36</v>
      </c>
      <c r="C17" s="9" t="s">
        <v>37</v>
      </c>
      <c r="D17" s="6"/>
      <c r="E17" s="6"/>
      <c r="F17" s="7" t="str">
        <f aca="false">IF(D17="","",IF(COUNTIF($D$6:$D$20,D17)&gt;1,"重複",""))</f>
        <v/>
      </c>
      <c r="G17" s="7" t="str">
        <f aca="false">IF(E17="","",IF(COUNTIF($E$6:$E$20,E17)&gt;1,"重複",""))</f>
        <v/>
      </c>
    </row>
    <row r="18" customFormat="false" ht="33.75" hidden="false" customHeight="true" outlineLevel="0" collapsed="false">
      <c r="A18" s="8" t="s">
        <v>35</v>
      </c>
      <c r="B18" s="5" t="s">
        <v>38</v>
      </c>
      <c r="C18" s="5" t="s">
        <v>39</v>
      </c>
      <c r="D18" s="6"/>
      <c r="E18" s="6"/>
      <c r="F18" s="7" t="str">
        <f aca="false">IF(D18="","",IF(COUNTIF($D$6:$D$20,D18)&gt;1,"重複",""))</f>
        <v/>
      </c>
      <c r="G18" s="7" t="str">
        <f aca="false">IF(E18="","",IF(COUNTIF($E$6:$E$20,E18)&gt;1,"重複",""))</f>
        <v/>
      </c>
    </row>
    <row r="19" customFormat="false" ht="33.75" hidden="false" customHeight="true" outlineLevel="0" collapsed="false">
      <c r="A19" s="8" t="s">
        <v>40</v>
      </c>
      <c r="B19" s="5" t="s">
        <v>41</v>
      </c>
      <c r="C19" s="5" t="s">
        <v>42</v>
      </c>
      <c r="D19" s="6"/>
      <c r="E19" s="6"/>
      <c r="F19" s="7" t="str">
        <f aca="false">IF(D19="","",IF(COUNTIF($D$6:$D$20,D19)&gt;1,"重複",""))</f>
        <v/>
      </c>
      <c r="G19" s="7" t="str">
        <f aca="false">IF(E19="","",IF(COUNTIF($E$6:$E$20,E19)&gt;1,"重複",""))</f>
        <v/>
      </c>
    </row>
    <row r="20" customFormat="false" ht="33.75" hidden="false" customHeight="true" outlineLevel="0" collapsed="false">
      <c r="A20" s="4" t="s">
        <v>43</v>
      </c>
      <c r="B20" s="5" t="s">
        <v>44</v>
      </c>
      <c r="C20" s="5" t="s">
        <v>45</v>
      </c>
      <c r="D20" s="6"/>
      <c r="E20" s="6"/>
      <c r="F20" s="7" t="str">
        <f aca="false">IF(D20="","",IF(COUNTIF($D$6:$D$20,D20)&gt;1,"重複",""))</f>
        <v/>
      </c>
      <c r="G20" s="7" t="str">
        <f aca="false">IF(E20="","",IF(COUNTIF($E$6:$E$20,E20)&gt;1,"重複",""))</f>
        <v/>
      </c>
    </row>
    <row r="21" customFormat="false" ht="15" hidden="false" customHeight="false" outlineLevel="0" collapsed="false">
      <c r="C21" s="10" t="s">
        <v>46</v>
      </c>
      <c r="D21" s="10" t="n">
        <f aca="false">COUNTA(D6:D20)</f>
        <v>0</v>
      </c>
      <c r="E21" s="10" t="n">
        <f aca="false">COUNTA(E6:E20)</f>
        <v>0</v>
      </c>
    </row>
    <row r="23" customFormat="false" ht="15" hidden="false" customHeight="false" outlineLevel="0" collapsed="false">
      <c r="A23" s="11" t="s">
        <v>47</v>
      </c>
    </row>
    <row r="24" customFormat="false" ht="39.55" hidden="false" customHeight="false" outlineLevel="0" collapsed="false">
      <c r="A24" s="3" t="s">
        <v>48</v>
      </c>
      <c r="B24" s="3" t="s">
        <v>49</v>
      </c>
      <c r="C24" s="12" t="s">
        <v>50</v>
      </c>
      <c r="D24" s="12" t="s">
        <v>51</v>
      </c>
      <c r="E24" s="12" t="s">
        <v>52</v>
      </c>
      <c r="F24" s="12" t="s">
        <v>53</v>
      </c>
    </row>
    <row r="25" customFormat="false" ht="15" hidden="false" customHeight="false" outlineLevel="0" collapsed="false">
      <c r="A25" s="8" t="s">
        <v>54</v>
      </c>
      <c r="B25" s="4" t="s">
        <v>55</v>
      </c>
      <c r="C25" s="4" t="str">
        <f aca="false">IF($D$10="","（未定）",$D$10)</f>
        <v>（未定）</v>
      </c>
      <c r="D25" s="4" t="str">
        <f aca="false">IF($D$11="","（未定）",$D$11)</f>
        <v>（未定）</v>
      </c>
      <c r="E25" s="4" t="str">
        <f aca="false">IF($D$13="","（未定）",$D$13)</f>
        <v>（未定）</v>
      </c>
      <c r="F25" s="4" t="str">
        <f aca="false">IF($D$14="","（未定）",$D$14)</f>
        <v>（未定）</v>
      </c>
    </row>
    <row r="26" customFormat="false" ht="15" hidden="false" customHeight="false" outlineLevel="0" collapsed="false">
      <c r="A26" s="8" t="s">
        <v>56</v>
      </c>
      <c r="B26" s="4" t="s">
        <v>55</v>
      </c>
      <c r="C26" s="4" t="str">
        <f aca="false">IF($D$11="","（未定）",$D$11)</f>
        <v>（未定）</v>
      </c>
      <c r="D26" s="4" t="str">
        <f aca="false">IF($D$10="","（未定）",$D$10)</f>
        <v>（未定）</v>
      </c>
      <c r="E26" s="4" t="str">
        <f aca="false">IF($D$14="","（未定）",$D$14)</f>
        <v>（未定）</v>
      </c>
      <c r="F26" s="4" t="str">
        <f aca="false">IF($D$13="","（未定）",$D$13)</f>
        <v>（未定）</v>
      </c>
    </row>
    <row r="27" customFormat="false" ht="15" hidden="false" customHeight="false" outlineLevel="0" collapsed="false">
      <c r="A27" s="8" t="s">
        <v>57</v>
      </c>
      <c r="B27" s="4" t="s">
        <v>55</v>
      </c>
      <c r="C27" s="4" t="str">
        <f aca="false">IF($D$10="","（未定）",$D$10)</f>
        <v>（未定）</v>
      </c>
      <c r="D27" s="4" t="str">
        <f aca="false">IF($D$11="","（未定）",$D$11)</f>
        <v>（未定）</v>
      </c>
      <c r="E27" s="4" t="str">
        <f aca="false">IF($D$13="","（未定）",$D$13)</f>
        <v>（未定）</v>
      </c>
      <c r="F27" s="4" t="str">
        <f aca="false">IF($D$14="","（未定）",$D$14)</f>
        <v>（未定）</v>
      </c>
    </row>
    <row r="28" customFormat="false" ht="15" hidden="false" customHeight="false" outlineLevel="0" collapsed="false">
      <c r="A28" s="8" t="s">
        <v>58</v>
      </c>
      <c r="B28" s="4" t="s">
        <v>55</v>
      </c>
      <c r="C28" s="4" t="str">
        <f aca="false">IF($D$11="","（未定）",$D$11)</f>
        <v>（未定）</v>
      </c>
      <c r="D28" s="4" t="str">
        <f aca="false">IF($D$10="","（未定）",$D$10)</f>
        <v>（未定）</v>
      </c>
      <c r="E28" s="4" t="str">
        <f aca="false">IF($D$14="","（未定）",$D$14)</f>
        <v>（未定）</v>
      </c>
      <c r="F28" s="4" t="str">
        <f aca="false">IF($D$13="","（未定）",$D$13)</f>
        <v>（未定）</v>
      </c>
    </row>
    <row r="29" customFormat="false" ht="15" hidden="false" customHeight="false" outlineLevel="0" collapsed="false">
      <c r="A29" s="8" t="s">
        <v>59</v>
      </c>
      <c r="B29" s="4" t="s">
        <v>60</v>
      </c>
      <c r="C29" s="4" t="str">
        <f aca="false">IF($E$10="","（未定）",$E$10)</f>
        <v>（未定）</v>
      </c>
      <c r="D29" s="4" t="str">
        <f aca="false">IF($E$11="","（未定）",$E$11)</f>
        <v>（未定）</v>
      </c>
      <c r="E29" s="4" t="str">
        <f aca="false">IF($E$13="","（未定）",$E$13)</f>
        <v>（未定）</v>
      </c>
      <c r="F29" s="4" t="str">
        <f aca="false">IF($E$14="","（未定）",$E$14)</f>
        <v>（未定）</v>
      </c>
    </row>
    <row r="30" customFormat="false" ht="15" hidden="false" customHeight="false" outlineLevel="0" collapsed="false">
      <c r="A30" s="8" t="s">
        <v>61</v>
      </c>
      <c r="B30" s="4" t="s">
        <v>60</v>
      </c>
      <c r="C30" s="4" t="str">
        <f aca="false">IF($E$11="","（未定）",$E$11)</f>
        <v>（未定）</v>
      </c>
      <c r="D30" s="4" t="str">
        <f aca="false">IF($E$10="","（未定）",$E$10)</f>
        <v>（未定）</v>
      </c>
      <c r="E30" s="4" t="str">
        <f aca="false">IF($E$14="","（未定）",$E$14)</f>
        <v>（未定）</v>
      </c>
      <c r="F30" s="4" t="str">
        <f aca="false">IF($E$13="","（未定）",$E$13)</f>
        <v>（未定）</v>
      </c>
    </row>
    <row r="31" customFormat="false" ht="15" hidden="false" customHeight="false" outlineLevel="0" collapsed="false">
      <c r="A31" s="8" t="s">
        <v>62</v>
      </c>
      <c r="B31" s="4" t="s">
        <v>60</v>
      </c>
      <c r="C31" s="4" t="str">
        <f aca="false">IF($E$10="","（未定）",$E$10)</f>
        <v>（未定）</v>
      </c>
      <c r="D31" s="4" t="str">
        <f aca="false">IF($E$11="","（未定）",$E$11)</f>
        <v>（未定）</v>
      </c>
      <c r="E31" s="4" t="str">
        <f aca="false">IF($E$13="","（未定）",$E$13)</f>
        <v>（未定）</v>
      </c>
      <c r="F31" s="4" t="str">
        <f aca="false">IF($E$14="","（未定）",$E$14)</f>
        <v>（未定）</v>
      </c>
    </row>
    <row r="32" customFormat="false" ht="15" hidden="false" customHeight="false" outlineLevel="0" collapsed="false">
      <c r="A32" s="8" t="s">
        <v>63</v>
      </c>
      <c r="B32" s="4" t="s">
        <v>60</v>
      </c>
      <c r="C32" s="4" t="str">
        <f aca="false">IF($E$11="","（未定）",$E$11)</f>
        <v>（未定）</v>
      </c>
      <c r="D32" s="4" t="str">
        <f aca="false">IF($E$10="","（未定）",$E$10)</f>
        <v>（未定）</v>
      </c>
      <c r="E32" s="4" t="str">
        <f aca="false">IF($E$14="","（未定）",$E$14)</f>
        <v>（未定）</v>
      </c>
      <c r="F32" s="4" t="str">
        <f aca="false">IF($E$13="","（未定）",$E$13)</f>
        <v>（未定）</v>
      </c>
    </row>
    <row r="34" customFormat="false" ht="15" hidden="false" customHeight="false" outlineLevel="0" collapsed="false">
      <c r="A34" s="13" t="s">
        <v>64</v>
      </c>
    </row>
    <row r="35" customFormat="false" ht="15" hidden="false" customHeight="false" outlineLevel="0" collapsed="false">
      <c r="A35" s="3" t="s">
        <v>65</v>
      </c>
      <c r="B35" s="3" t="s">
        <v>66</v>
      </c>
      <c r="C35" s="3" t="s">
        <v>55</v>
      </c>
      <c r="D35" s="3" t="s">
        <v>60</v>
      </c>
    </row>
    <row r="36" customFormat="false" ht="15" hidden="false" customHeight="false" outlineLevel="0" collapsed="false">
      <c r="A36" s="4" t="s">
        <v>15</v>
      </c>
      <c r="B36" s="4" t="s">
        <v>16</v>
      </c>
      <c r="C36" s="4" t="str">
        <f aca="false">IF($D$8="","（未定）",$D$8)</f>
        <v>（未定）</v>
      </c>
      <c r="D36" s="4" t="str">
        <f aca="false">IF($E$8="","（未定）",$E$8)</f>
        <v>（未定）</v>
      </c>
    </row>
    <row r="37" customFormat="false" ht="15" hidden="false" customHeight="false" outlineLevel="0" collapsed="false">
      <c r="A37" s="8" t="s">
        <v>20</v>
      </c>
      <c r="B37" s="4" t="s">
        <v>67</v>
      </c>
      <c r="C37" s="4" t="s">
        <v>68</v>
      </c>
      <c r="D37" s="4" t="s">
        <v>68</v>
      </c>
    </row>
    <row r="38" customFormat="false" ht="26.85" hidden="false" customHeight="false" outlineLevel="0" collapsed="false">
      <c r="A38" s="8" t="s">
        <v>27</v>
      </c>
      <c r="B38" s="4" t="s">
        <v>69</v>
      </c>
      <c r="C38" s="4" t="s">
        <v>68</v>
      </c>
      <c r="D38" s="4" t="s">
        <v>68</v>
      </c>
    </row>
    <row r="39" customFormat="false" ht="15" hidden="false" customHeight="false" outlineLevel="0" collapsed="false">
      <c r="A39" s="8" t="s">
        <v>35</v>
      </c>
      <c r="B39" s="4" t="s">
        <v>38</v>
      </c>
      <c r="C39" s="4" t="str">
        <f aca="false">IF($D$18="","（未定）",$D$18)</f>
        <v>（未定）</v>
      </c>
      <c r="D39" s="4" t="str">
        <f aca="false">IF($E$18="","（未定）",$E$18)</f>
        <v>（未定）</v>
      </c>
    </row>
    <row r="41" customFormat="false" ht="15" hidden="false" customHeight="false" outlineLevel="0" collapsed="false">
      <c r="A41" s="13" t="s">
        <v>70</v>
      </c>
    </row>
    <row r="42" customFormat="false" ht="15" hidden="false" customHeight="true" outlineLevel="0" collapsed="false">
      <c r="A42" s="3" t="s">
        <v>48</v>
      </c>
      <c r="B42" s="3" t="s">
        <v>71</v>
      </c>
      <c r="C42" s="3"/>
      <c r="D42" s="3"/>
      <c r="E42" s="3"/>
    </row>
    <row r="43" customFormat="false" ht="15" hidden="false" customHeight="true" outlineLevel="0" collapsed="false">
      <c r="A43" s="8" t="s">
        <v>72</v>
      </c>
      <c r="B43" s="5" t="s">
        <v>73</v>
      </c>
      <c r="C43" s="5"/>
      <c r="D43" s="5"/>
      <c r="E43" s="5"/>
    </row>
    <row r="44" customFormat="false" ht="15" hidden="false" customHeight="true" outlineLevel="0" collapsed="false">
      <c r="A44" s="8" t="s">
        <v>74</v>
      </c>
      <c r="B44" s="5" t="s">
        <v>75</v>
      </c>
      <c r="C44" s="5"/>
      <c r="D44" s="5"/>
      <c r="E44" s="5"/>
    </row>
    <row r="45" customFormat="false" ht="15" hidden="false" customHeight="true" outlineLevel="0" collapsed="false">
      <c r="A45" s="8" t="s">
        <v>76</v>
      </c>
      <c r="B45" s="5" t="s">
        <v>77</v>
      </c>
      <c r="C45" s="5"/>
      <c r="D45" s="5"/>
      <c r="E45" s="5"/>
    </row>
    <row r="46" customFormat="false" ht="15" hidden="false" customHeight="true" outlineLevel="0" collapsed="false">
      <c r="A46" s="8" t="s">
        <v>78</v>
      </c>
      <c r="B46" s="5" t="s">
        <v>79</v>
      </c>
      <c r="C46" s="5"/>
      <c r="D46" s="5"/>
      <c r="E46" s="5"/>
    </row>
    <row r="47" customFormat="false" ht="15" hidden="false" customHeight="true" outlineLevel="0" collapsed="false">
      <c r="A47" s="8" t="s">
        <v>54</v>
      </c>
      <c r="B47" s="5" t="s">
        <v>80</v>
      </c>
      <c r="C47" s="5"/>
      <c r="D47" s="5"/>
      <c r="E47" s="5"/>
    </row>
    <row r="48" customFormat="false" ht="15" hidden="false" customHeight="true" outlineLevel="0" collapsed="false">
      <c r="A48" s="8" t="s">
        <v>58</v>
      </c>
      <c r="B48" s="5" t="s">
        <v>81</v>
      </c>
      <c r="C48" s="5"/>
      <c r="D48" s="5"/>
      <c r="E48" s="5"/>
    </row>
    <row r="49" customFormat="false" ht="15" hidden="false" customHeight="true" outlineLevel="0" collapsed="false">
      <c r="A49" s="8" t="s">
        <v>82</v>
      </c>
      <c r="B49" s="5" t="s">
        <v>83</v>
      </c>
      <c r="C49" s="5"/>
      <c r="D49" s="5"/>
      <c r="E49" s="5"/>
    </row>
    <row r="50" customFormat="false" ht="15" hidden="false" customHeight="true" outlineLevel="0" collapsed="false">
      <c r="A50" s="8" t="s">
        <v>59</v>
      </c>
      <c r="B50" s="5" t="s">
        <v>84</v>
      </c>
      <c r="C50" s="5"/>
      <c r="D50" s="5"/>
      <c r="E50" s="5"/>
    </row>
    <row r="51" customFormat="false" ht="15" hidden="false" customHeight="true" outlineLevel="0" collapsed="false">
      <c r="A51" s="8" t="s">
        <v>85</v>
      </c>
      <c r="B51" s="5" t="s">
        <v>86</v>
      </c>
      <c r="C51" s="5"/>
      <c r="D51" s="5"/>
      <c r="E51" s="5"/>
    </row>
    <row r="52" customFormat="false" ht="15" hidden="false" customHeight="true" outlineLevel="0" collapsed="false">
      <c r="A52" s="8" t="s">
        <v>87</v>
      </c>
      <c r="B52" s="5" t="s">
        <v>88</v>
      </c>
      <c r="C52" s="5"/>
      <c r="D52" s="5"/>
      <c r="E52" s="5"/>
    </row>
    <row r="53" customFormat="false" ht="15" hidden="false" customHeight="true" outlineLevel="0" collapsed="false">
      <c r="A53" s="8" t="s">
        <v>89</v>
      </c>
      <c r="B53" s="5" t="s">
        <v>90</v>
      </c>
      <c r="C53" s="5"/>
      <c r="D53" s="5"/>
      <c r="E53" s="5"/>
    </row>
  </sheetData>
  <mergeCells count="12"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5" min="4" style="0" width="24"/>
    <col collapsed="false" customWidth="true" hidden="false" outlineLevel="0" max="7" min="6" style="0" width="10"/>
  </cols>
  <sheetData>
    <row r="1" customFormat="false" ht="19.4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6.8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92</v>
      </c>
      <c r="E5" s="3" t="s">
        <v>93</v>
      </c>
      <c r="F5" s="3" t="s">
        <v>8</v>
      </c>
      <c r="G5" s="3" t="s">
        <v>9</v>
      </c>
    </row>
    <row r="6" customFormat="false" ht="33.75" hidden="false" customHeight="true" outlineLevel="0" collapsed="false">
      <c r="A6" s="4" t="s">
        <v>10</v>
      </c>
      <c r="B6" s="5" t="s">
        <v>11</v>
      </c>
      <c r="C6" s="5" t="s">
        <v>12</v>
      </c>
      <c r="D6" s="6"/>
      <c r="E6" s="6"/>
      <c r="F6" s="7" t="str">
        <f aca="false">IF(D6="","",IF(COUNTIF($D$6:$D$20,D6)&gt;1,"重複",""))</f>
        <v/>
      </c>
      <c r="G6" s="7" t="str">
        <f aca="false">IF(E6="","",IF(COUNTIF($E$6:$E$20,E6)&gt;1,"重複",""))</f>
        <v/>
      </c>
    </row>
    <row r="7" customFormat="false" ht="33.75" hidden="false" customHeight="true" outlineLevel="0" collapsed="false">
      <c r="A7" s="4" t="s">
        <v>10</v>
      </c>
      <c r="B7" s="5" t="s">
        <v>13</v>
      </c>
      <c r="C7" s="5" t="s">
        <v>14</v>
      </c>
      <c r="D7" s="6"/>
      <c r="E7" s="6"/>
      <c r="F7" s="7" t="str">
        <f aca="false">IF(D7="","",IF(COUNTIF($D$6:$D$20,D7)&gt;1,"重複",""))</f>
        <v/>
      </c>
      <c r="G7" s="7" t="str">
        <f aca="false">IF(E7="","",IF(COUNTIF($E$6:$E$20,E7)&gt;1,"重複",""))</f>
        <v/>
      </c>
    </row>
    <row r="8" customFormat="false" ht="33.75" hidden="false" customHeight="true" outlineLevel="0" collapsed="false">
      <c r="A8" s="4" t="s">
        <v>15</v>
      </c>
      <c r="B8" s="5" t="s">
        <v>16</v>
      </c>
      <c r="C8" s="5" t="s">
        <v>17</v>
      </c>
      <c r="D8" s="6"/>
      <c r="E8" s="6"/>
      <c r="F8" s="7" t="str">
        <f aca="false">IF(D8="","",IF(COUNTIF($D$6:$D$20,D8)&gt;1,"重複",""))</f>
        <v/>
      </c>
      <c r="G8" s="7" t="str">
        <f aca="false">IF(E8="","",IF(COUNTIF($E$6:$E$20,E8)&gt;1,"重複",""))</f>
        <v/>
      </c>
    </row>
    <row r="9" customFormat="false" ht="33.75" hidden="false" customHeight="true" outlineLevel="0" collapsed="false">
      <c r="A9" s="4" t="s">
        <v>15</v>
      </c>
      <c r="B9" s="5" t="s">
        <v>18</v>
      </c>
      <c r="C9" s="5" t="s">
        <v>19</v>
      </c>
      <c r="D9" s="6"/>
      <c r="E9" s="6"/>
      <c r="F9" s="7" t="str">
        <f aca="false">IF(D9="","",IF(COUNTIF($D$6:$D$20,D9)&gt;1,"重複",""))</f>
        <v/>
      </c>
      <c r="G9" s="7" t="str">
        <f aca="false">IF(E9="","",IF(COUNTIF($E$6:$E$20,E9)&gt;1,"重複",""))</f>
        <v/>
      </c>
    </row>
    <row r="10" customFormat="false" ht="33.75" hidden="false" customHeight="true" outlineLevel="0" collapsed="false">
      <c r="A10" s="8" t="s">
        <v>20</v>
      </c>
      <c r="B10" s="5" t="s">
        <v>21</v>
      </c>
      <c r="C10" s="5" t="s">
        <v>22</v>
      </c>
      <c r="D10" s="6"/>
      <c r="E10" s="6"/>
      <c r="F10" s="7" t="str">
        <f aca="false">IF(D10="","",IF(COUNTIF($D$6:$D$20,D10)&gt;1,"重複",""))</f>
        <v/>
      </c>
      <c r="G10" s="7" t="str">
        <f aca="false">IF(E10="","",IF(COUNTIF($E$6:$E$20,E10)&gt;1,"重複",""))</f>
        <v/>
      </c>
    </row>
    <row r="11" customFormat="false" ht="33.75" hidden="false" customHeight="true" outlineLevel="0" collapsed="false">
      <c r="A11" s="8" t="s">
        <v>20</v>
      </c>
      <c r="B11" s="5" t="s">
        <v>23</v>
      </c>
      <c r="C11" s="5" t="s">
        <v>24</v>
      </c>
      <c r="D11" s="6"/>
      <c r="E11" s="6"/>
      <c r="F11" s="7" t="str">
        <f aca="false">IF(D11="","",IF(COUNTIF($D$6:$D$20,D11)&gt;1,"重複",""))</f>
        <v/>
      </c>
      <c r="G11" s="7" t="str">
        <f aca="false">IF(E11="","",IF(COUNTIF($E$6:$E$20,E11)&gt;1,"重複",""))</f>
        <v/>
      </c>
    </row>
    <row r="12" customFormat="false" ht="33.75" hidden="false" customHeight="true" outlineLevel="0" collapsed="false">
      <c r="A12" s="8" t="s">
        <v>20</v>
      </c>
      <c r="B12" s="5" t="s">
        <v>25</v>
      </c>
      <c r="C12" s="5" t="s">
        <v>26</v>
      </c>
      <c r="D12" s="6"/>
      <c r="E12" s="6"/>
      <c r="F12" s="7" t="str">
        <f aca="false">IF(D12="","",IF(COUNTIF($D$6:$D$20,D12)&gt;1,"重複",""))</f>
        <v/>
      </c>
      <c r="G12" s="7" t="str">
        <f aca="false">IF(E12="","",IF(COUNTIF($E$6:$E$20,E12)&gt;1,"重複",""))</f>
        <v/>
      </c>
    </row>
    <row r="13" customFormat="false" ht="33.75" hidden="false" customHeight="true" outlineLevel="0" collapsed="false">
      <c r="A13" s="8" t="s">
        <v>27</v>
      </c>
      <c r="B13" s="5" t="s">
        <v>28</v>
      </c>
      <c r="C13" s="5" t="s">
        <v>29</v>
      </c>
      <c r="D13" s="6"/>
      <c r="E13" s="6"/>
      <c r="F13" s="7" t="str">
        <f aca="false">IF(D13="","",IF(COUNTIF($D$6:$D$20,D13)&gt;1,"重複",""))</f>
        <v/>
      </c>
      <c r="G13" s="7" t="str">
        <f aca="false">IF(E13="","",IF(COUNTIF($E$6:$E$20,E13)&gt;1,"重複",""))</f>
        <v/>
      </c>
    </row>
    <row r="14" customFormat="false" ht="33.75" hidden="false" customHeight="true" outlineLevel="0" collapsed="false">
      <c r="A14" s="8" t="s">
        <v>27</v>
      </c>
      <c r="B14" s="5" t="s">
        <v>30</v>
      </c>
      <c r="C14" s="5" t="s">
        <v>24</v>
      </c>
      <c r="D14" s="6"/>
      <c r="E14" s="6"/>
      <c r="F14" s="7" t="str">
        <f aca="false">IF(D14="","",IF(COUNTIF($D$6:$D$20,D14)&gt;1,"重複",""))</f>
        <v/>
      </c>
      <c r="G14" s="7" t="str">
        <f aca="false">IF(E14="","",IF(COUNTIF($E$6:$E$20,E14)&gt;1,"重複",""))</f>
        <v/>
      </c>
    </row>
    <row r="15" customFormat="false" ht="33.75" hidden="false" customHeight="true" outlineLevel="0" collapsed="false">
      <c r="A15" s="8" t="s">
        <v>27</v>
      </c>
      <c r="B15" s="5" t="s">
        <v>31</v>
      </c>
      <c r="C15" s="5" t="s">
        <v>32</v>
      </c>
      <c r="D15" s="6"/>
      <c r="E15" s="6"/>
      <c r="F15" s="7" t="str">
        <f aca="false">IF(D15="","",IF(COUNTIF($D$6:$D$20,D15)&gt;1,"重複",""))</f>
        <v/>
      </c>
      <c r="G15" s="7" t="str">
        <f aca="false">IF(E15="","",IF(COUNTIF($E$6:$E$20,E15)&gt;1,"重複",""))</f>
        <v/>
      </c>
    </row>
    <row r="16" customFormat="false" ht="33.75" hidden="false" customHeight="true" outlineLevel="0" collapsed="false">
      <c r="A16" s="8" t="s">
        <v>27</v>
      </c>
      <c r="B16" s="5" t="s">
        <v>33</v>
      </c>
      <c r="C16" s="5" t="s">
        <v>34</v>
      </c>
      <c r="D16" s="6"/>
      <c r="E16" s="6"/>
      <c r="F16" s="7" t="str">
        <f aca="false">IF(D16="","",IF(COUNTIF($D$6:$D$20,D16)&gt;1,"重複",""))</f>
        <v/>
      </c>
      <c r="G16" s="7" t="str">
        <f aca="false">IF(E16="","",IF(COUNTIF($E$6:$E$20,E16)&gt;1,"重複",""))</f>
        <v/>
      </c>
    </row>
    <row r="17" customFormat="false" ht="33.75" hidden="false" customHeight="true" outlineLevel="0" collapsed="false">
      <c r="A17" s="8" t="s">
        <v>35</v>
      </c>
      <c r="B17" s="5" t="s">
        <v>36</v>
      </c>
      <c r="C17" s="9" t="s">
        <v>37</v>
      </c>
      <c r="D17" s="6"/>
      <c r="E17" s="6"/>
      <c r="F17" s="7" t="str">
        <f aca="false">IF(D17="","",IF(COUNTIF($D$6:$D$20,D17)&gt;1,"重複",""))</f>
        <v/>
      </c>
      <c r="G17" s="7" t="str">
        <f aca="false">IF(E17="","",IF(COUNTIF($E$6:$E$20,E17)&gt;1,"重複",""))</f>
        <v/>
      </c>
    </row>
    <row r="18" customFormat="false" ht="33.75" hidden="false" customHeight="true" outlineLevel="0" collapsed="false">
      <c r="A18" s="8" t="s">
        <v>35</v>
      </c>
      <c r="B18" s="5" t="s">
        <v>38</v>
      </c>
      <c r="C18" s="5" t="s">
        <v>39</v>
      </c>
      <c r="D18" s="6"/>
      <c r="E18" s="6"/>
      <c r="F18" s="7" t="str">
        <f aca="false">IF(D18="","",IF(COUNTIF($D$6:$D$20,D18)&gt;1,"重複",""))</f>
        <v/>
      </c>
      <c r="G18" s="7" t="str">
        <f aca="false">IF(E18="","",IF(COUNTIF($E$6:$E$20,E18)&gt;1,"重複",""))</f>
        <v/>
      </c>
    </row>
    <row r="19" customFormat="false" ht="33.75" hidden="false" customHeight="true" outlineLevel="0" collapsed="false">
      <c r="A19" s="8" t="s">
        <v>40</v>
      </c>
      <c r="B19" s="5" t="s">
        <v>41</v>
      </c>
      <c r="C19" s="5" t="s">
        <v>42</v>
      </c>
      <c r="D19" s="6"/>
      <c r="E19" s="6"/>
      <c r="F19" s="7" t="str">
        <f aca="false">IF(D19="","",IF(COUNTIF($D$6:$D$20,D19)&gt;1,"重複",""))</f>
        <v/>
      </c>
      <c r="G19" s="7" t="str">
        <f aca="false">IF(E19="","",IF(COUNTIF($E$6:$E$20,E19)&gt;1,"重複",""))</f>
        <v/>
      </c>
    </row>
    <row r="20" customFormat="false" ht="33.75" hidden="false" customHeight="true" outlineLevel="0" collapsed="false">
      <c r="A20" s="4" t="s">
        <v>43</v>
      </c>
      <c r="B20" s="5" t="s">
        <v>44</v>
      </c>
      <c r="C20" s="5" t="s">
        <v>45</v>
      </c>
      <c r="D20" s="6"/>
      <c r="E20" s="6"/>
      <c r="F20" s="7" t="str">
        <f aca="false">IF(D20="","",IF(COUNTIF($D$6:$D$20,D20)&gt;1,"重複",""))</f>
        <v/>
      </c>
      <c r="G20" s="7" t="str">
        <f aca="false">IF(E20="","",IF(COUNTIF($E$6:$E$20,E20)&gt;1,"重複",""))</f>
        <v/>
      </c>
    </row>
    <row r="21" customFormat="false" ht="15" hidden="false" customHeight="false" outlineLevel="0" collapsed="false">
      <c r="C21" s="10" t="s">
        <v>46</v>
      </c>
      <c r="D21" s="10" t="n">
        <f aca="false">COUNTA(D6:D20)</f>
        <v>0</v>
      </c>
      <c r="E21" s="10" t="n">
        <f aca="false">COUNTA(E6:E20)</f>
        <v>0</v>
      </c>
    </row>
    <row r="23" customFormat="false" ht="15" hidden="false" customHeight="false" outlineLevel="0" collapsed="false">
      <c r="A23" s="11" t="s">
        <v>47</v>
      </c>
    </row>
    <row r="24" customFormat="false" ht="39.55" hidden="false" customHeight="false" outlineLevel="0" collapsed="false">
      <c r="A24" s="3" t="s">
        <v>48</v>
      </c>
      <c r="B24" s="3" t="s">
        <v>49</v>
      </c>
      <c r="C24" s="12" t="s">
        <v>50</v>
      </c>
      <c r="D24" s="12" t="s">
        <v>51</v>
      </c>
      <c r="E24" s="12" t="s">
        <v>52</v>
      </c>
      <c r="F24" s="12" t="s">
        <v>53</v>
      </c>
    </row>
    <row r="25" customFormat="false" ht="15" hidden="false" customHeight="false" outlineLevel="0" collapsed="false">
      <c r="A25" s="8" t="s">
        <v>74</v>
      </c>
      <c r="B25" s="4" t="s">
        <v>55</v>
      </c>
      <c r="C25" s="4" t="str">
        <f aca="false">IF($D$10="","（未定）",$D$10)</f>
        <v>（未定）</v>
      </c>
      <c r="D25" s="4" t="str">
        <f aca="false">IF($D$11="","（未定）",$D$11)</f>
        <v>（未定）</v>
      </c>
      <c r="E25" s="4" t="str">
        <f aca="false">IF($D$13="","（未定）",$D$13)</f>
        <v>（未定）</v>
      </c>
      <c r="F25" s="4" t="str">
        <f aca="false">IF($D$14="","（未定）",$D$14)</f>
        <v>（未定）</v>
      </c>
    </row>
    <row r="26" customFormat="false" ht="15" hidden="false" customHeight="false" outlineLevel="0" collapsed="false">
      <c r="A26" s="8" t="s">
        <v>54</v>
      </c>
      <c r="B26" s="4" t="s">
        <v>55</v>
      </c>
      <c r="C26" s="4" t="str">
        <f aca="false">IF($D$11="","（未定）",$D$11)</f>
        <v>（未定）</v>
      </c>
      <c r="D26" s="4" t="str">
        <f aca="false">IF($D$10="","（未定）",$D$10)</f>
        <v>（未定）</v>
      </c>
      <c r="E26" s="4" t="str">
        <f aca="false">IF($D$14="","（未定）",$D$14)</f>
        <v>（未定）</v>
      </c>
      <c r="F26" s="4" t="str">
        <f aca="false">IF($D$13="","（未定）",$D$13)</f>
        <v>（未定）</v>
      </c>
    </row>
    <row r="27" customFormat="false" ht="15" hidden="false" customHeight="false" outlineLevel="0" collapsed="false">
      <c r="A27" s="8" t="s">
        <v>56</v>
      </c>
      <c r="B27" s="4" t="s">
        <v>55</v>
      </c>
      <c r="C27" s="4" t="str">
        <f aca="false">IF($D$10="","（未定）",$D$10)</f>
        <v>（未定）</v>
      </c>
      <c r="D27" s="4" t="str">
        <f aca="false">IF($D$11="","（未定）",$D$11)</f>
        <v>（未定）</v>
      </c>
      <c r="E27" s="4" t="str">
        <f aca="false">IF($D$13="","（未定）",$D$13)</f>
        <v>（未定）</v>
      </c>
      <c r="F27" s="4" t="str">
        <f aca="false">IF($D$14="","（未定）",$D$14)</f>
        <v>（未定）</v>
      </c>
    </row>
    <row r="28" customFormat="false" ht="15" hidden="false" customHeight="false" outlineLevel="0" collapsed="false">
      <c r="A28" s="8" t="s">
        <v>57</v>
      </c>
      <c r="B28" s="4" t="s">
        <v>55</v>
      </c>
      <c r="C28" s="4" t="str">
        <f aca="false">IF($D$11="","（未定）",$D$11)</f>
        <v>（未定）</v>
      </c>
      <c r="D28" s="4" t="str">
        <f aca="false">IF($D$10="","（未定）",$D$10)</f>
        <v>（未定）</v>
      </c>
      <c r="E28" s="4" t="str">
        <f aca="false">IF($D$14="","（未定）",$D$14)</f>
        <v>（未定）</v>
      </c>
      <c r="F28" s="4" t="str">
        <f aca="false">IF($D$13="","（未定）",$D$13)</f>
        <v>（未定）</v>
      </c>
    </row>
    <row r="29" customFormat="false" ht="15" hidden="false" customHeight="false" outlineLevel="0" collapsed="false">
      <c r="A29" s="8" t="s">
        <v>94</v>
      </c>
      <c r="B29" s="4" t="s">
        <v>60</v>
      </c>
      <c r="C29" s="4" t="str">
        <f aca="false">IF($E$10="","（未定）",$E$10)</f>
        <v>（未定）</v>
      </c>
      <c r="D29" s="4" t="str">
        <f aca="false">IF($E$11="","（未定）",$E$11)</f>
        <v>（未定）</v>
      </c>
      <c r="E29" s="4" t="str">
        <f aca="false">IF($E$13="","（未定）",$E$13)</f>
        <v>（未定）</v>
      </c>
      <c r="F29" s="4" t="str">
        <f aca="false">IF($E$14="","（未定）",$E$14)</f>
        <v>（未定）</v>
      </c>
    </row>
    <row r="30" customFormat="false" ht="15" hidden="false" customHeight="false" outlineLevel="0" collapsed="false">
      <c r="A30" s="8" t="s">
        <v>95</v>
      </c>
      <c r="B30" s="4" t="s">
        <v>60</v>
      </c>
      <c r="C30" s="4" t="str">
        <f aca="false">IF($E$11="","（未定）",$E$11)</f>
        <v>（未定）</v>
      </c>
      <c r="D30" s="4" t="str">
        <f aca="false">IF($E$10="","（未定）",$E$10)</f>
        <v>（未定）</v>
      </c>
      <c r="E30" s="4" t="str">
        <f aca="false">IF($E$14="","（未定）",$E$14)</f>
        <v>（未定）</v>
      </c>
      <c r="F30" s="4" t="str">
        <f aca="false">IF($E$13="","（未定）",$E$13)</f>
        <v>（未定）</v>
      </c>
    </row>
    <row r="31" customFormat="false" ht="15" hidden="false" customHeight="false" outlineLevel="0" collapsed="false">
      <c r="A31" s="8" t="s">
        <v>85</v>
      </c>
      <c r="B31" s="4" t="s">
        <v>60</v>
      </c>
      <c r="C31" s="4" t="str">
        <f aca="false">IF($E$10="","（未定）",$E$10)</f>
        <v>（未定）</v>
      </c>
      <c r="D31" s="4" t="str">
        <f aca="false">IF($E$11="","（未定）",$E$11)</f>
        <v>（未定）</v>
      </c>
      <c r="E31" s="4" t="str">
        <f aca="false">IF($E$13="","（未定）",$E$13)</f>
        <v>（未定）</v>
      </c>
      <c r="F31" s="4" t="str">
        <f aca="false">IF($E$14="","（未定）",$E$14)</f>
        <v>（未定）</v>
      </c>
    </row>
    <row r="32" customFormat="false" ht="15" hidden="false" customHeight="false" outlineLevel="0" collapsed="false">
      <c r="A32" s="8" t="s">
        <v>96</v>
      </c>
      <c r="B32" s="4" t="s">
        <v>60</v>
      </c>
      <c r="C32" s="4" t="str">
        <f aca="false">IF($E$11="","（未定）",$E$11)</f>
        <v>（未定）</v>
      </c>
      <c r="D32" s="4" t="str">
        <f aca="false">IF($E$10="","（未定）",$E$10)</f>
        <v>（未定）</v>
      </c>
      <c r="E32" s="4" t="str">
        <f aca="false">IF($E$14="","（未定）",$E$14)</f>
        <v>（未定）</v>
      </c>
      <c r="F32" s="4" t="str">
        <f aca="false">IF($E$13="","（未定）",$E$13)</f>
        <v>（未定）</v>
      </c>
    </row>
    <row r="34" customFormat="false" ht="15" hidden="false" customHeight="false" outlineLevel="0" collapsed="false">
      <c r="A34" s="13" t="s">
        <v>64</v>
      </c>
    </row>
    <row r="35" customFormat="false" ht="15" hidden="false" customHeight="false" outlineLevel="0" collapsed="false">
      <c r="A35" s="3" t="s">
        <v>65</v>
      </c>
      <c r="B35" s="3" t="s">
        <v>66</v>
      </c>
      <c r="C35" s="3" t="s">
        <v>55</v>
      </c>
      <c r="D35" s="3" t="s">
        <v>60</v>
      </c>
    </row>
    <row r="36" customFormat="false" ht="15" hidden="false" customHeight="false" outlineLevel="0" collapsed="false">
      <c r="A36" s="4" t="s">
        <v>15</v>
      </c>
      <c r="B36" s="4" t="s">
        <v>16</v>
      </c>
      <c r="C36" s="4" t="str">
        <f aca="false">IF($D$8="","（未定）",$D$8)</f>
        <v>（未定）</v>
      </c>
      <c r="D36" s="4" t="str">
        <f aca="false">IF($E$8="","（未定）",$E$8)</f>
        <v>（未定）</v>
      </c>
    </row>
    <row r="37" customFormat="false" ht="15" hidden="false" customHeight="false" outlineLevel="0" collapsed="false">
      <c r="A37" s="8" t="s">
        <v>20</v>
      </c>
      <c r="B37" s="4" t="s">
        <v>67</v>
      </c>
      <c r="C37" s="4" t="s">
        <v>68</v>
      </c>
      <c r="D37" s="4" t="s">
        <v>68</v>
      </c>
    </row>
    <row r="38" customFormat="false" ht="26.85" hidden="false" customHeight="false" outlineLevel="0" collapsed="false">
      <c r="A38" s="8" t="s">
        <v>27</v>
      </c>
      <c r="B38" s="4" t="s">
        <v>69</v>
      </c>
      <c r="C38" s="4" t="s">
        <v>68</v>
      </c>
      <c r="D38" s="4" t="s">
        <v>68</v>
      </c>
    </row>
    <row r="39" customFormat="false" ht="15" hidden="false" customHeight="false" outlineLevel="0" collapsed="false">
      <c r="A39" s="8" t="s">
        <v>35</v>
      </c>
      <c r="B39" s="4" t="s">
        <v>38</v>
      </c>
      <c r="C39" s="4" t="str">
        <f aca="false">IF($D$18="","（未定）",$D$18)</f>
        <v>（未定）</v>
      </c>
      <c r="D39" s="4" t="str">
        <f aca="false">IF($E$18="","（未定）",$E$18)</f>
        <v>（未定）</v>
      </c>
    </row>
    <row r="41" customFormat="false" ht="15" hidden="false" customHeight="false" outlineLevel="0" collapsed="false">
      <c r="A41" s="13" t="s">
        <v>70</v>
      </c>
    </row>
    <row r="42" customFormat="false" ht="15" hidden="false" customHeight="true" outlineLevel="0" collapsed="false">
      <c r="A42" s="3" t="s">
        <v>48</v>
      </c>
      <c r="B42" s="3" t="s">
        <v>71</v>
      </c>
      <c r="C42" s="3"/>
      <c r="D42" s="3"/>
      <c r="E42" s="3"/>
    </row>
    <row r="43" customFormat="false" ht="15" hidden="false" customHeight="true" outlineLevel="0" collapsed="false">
      <c r="A43" s="8" t="s">
        <v>97</v>
      </c>
      <c r="B43" s="5" t="s">
        <v>73</v>
      </c>
      <c r="C43" s="5"/>
      <c r="D43" s="5"/>
      <c r="E43" s="5"/>
    </row>
    <row r="44" customFormat="false" ht="15" hidden="false" customHeight="true" outlineLevel="0" collapsed="false">
      <c r="A44" s="8" t="s">
        <v>98</v>
      </c>
      <c r="B44" s="5" t="s">
        <v>99</v>
      </c>
      <c r="C44" s="5"/>
      <c r="D44" s="5"/>
      <c r="E44" s="5"/>
    </row>
    <row r="45" customFormat="false" ht="15" hidden="false" customHeight="true" outlineLevel="0" collapsed="false">
      <c r="A45" s="8" t="s">
        <v>100</v>
      </c>
      <c r="B45" s="5" t="s">
        <v>77</v>
      </c>
      <c r="C45" s="5"/>
      <c r="D45" s="5"/>
      <c r="E45" s="5"/>
    </row>
    <row r="46" customFormat="false" ht="15" hidden="false" customHeight="true" outlineLevel="0" collapsed="false">
      <c r="A46" s="8" t="s">
        <v>101</v>
      </c>
      <c r="B46" s="5" t="s">
        <v>102</v>
      </c>
      <c r="C46" s="5"/>
      <c r="D46" s="5"/>
      <c r="E46" s="5"/>
    </row>
    <row r="47" customFormat="false" ht="15" hidden="false" customHeight="true" outlineLevel="0" collapsed="false">
      <c r="A47" s="8" t="s">
        <v>74</v>
      </c>
      <c r="B47" s="5" t="s">
        <v>103</v>
      </c>
      <c r="C47" s="5"/>
      <c r="D47" s="5"/>
      <c r="E47" s="5"/>
    </row>
    <row r="48" customFormat="false" ht="15" hidden="false" customHeight="true" outlineLevel="0" collapsed="false">
      <c r="A48" s="8" t="s">
        <v>104</v>
      </c>
      <c r="B48" s="5" t="s">
        <v>81</v>
      </c>
      <c r="C48" s="5"/>
      <c r="D48" s="5"/>
      <c r="E48" s="5"/>
    </row>
    <row r="49" customFormat="false" ht="15" hidden="false" customHeight="true" outlineLevel="0" collapsed="false">
      <c r="A49" s="8" t="s">
        <v>105</v>
      </c>
      <c r="B49" s="5" t="s">
        <v>83</v>
      </c>
      <c r="C49" s="5"/>
      <c r="D49" s="5"/>
      <c r="E49" s="5"/>
    </row>
    <row r="50" customFormat="false" ht="15" hidden="false" customHeight="true" outlineLevel="0" collapsed="false">
      <c r="A50" s="8" t="s">
        <v>94</v>
      </c>
      <c r="B50" s="5" t="s">
        <v>106</v>
      </c>
      <c r="C50" s="5"/>
      <c r="D50" s="5"/>
      <c r="E50" s="5"/>
    </row>
    <row r="51" customFormat="false" ht="15" hidden="false" customHeight="true" outlineLevel="0" collapsed="false">
      <c r="A51" s="8" t="s">
        <v>107</v>
      </c>
      <c r="B51" s="5" t="s">
        <v>86</v>
      </c>
      <c r="C51" s="5"/>
      <c r="D51" s="5"/>
      <c r="E51" s="5"/>
    </row>
    <row r="52" customFormat="false" ht="15" hidden="false" customHeight="true" outlineLevel="0" collapsed="false">
      <c r="A52" s="8" t="s">
        <v>96</v>
      </c>
      <c r="B52" s="5" t="s">
        <v>108</v>
      </c>
      <c r="C52" s="5"/>
      <c r="D52" s="5"/>
      <c r="E52" s="5"/>
    </row>
    <row r="53" customFormat="false" ht="15" hidden="false" customHeight="true" outlineLevel="0" collapsed="false">
      <c r="A53" s="8" t="s">
        <v>109</v>
      </c>
      <c r="B53" s="5" t="s">
        <v>110</v>
      </c>
      <c r="C53" s="5"/>
      <c r="D53" s="5"/>
      <c r="E53" s="5"/>
    </row>
  </sheetData>
  <mergeCells count="12"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4" t="s">
        <v>111</v>
      </c>
    </row>
    <row r="2" customFormat="false" ht="15" hidden="false" customHeight="false" outlineLevel="0" collapsed="false">
      <c r="A2" s="2" t="s">
        <v>112</v>
      </c>
    </row>
    <row r="4" customFormat="false" ht="15" hidden="false" customHeight="false" outlineLevel="0" collapsed="false">
      <c r="A4" s="3" t="s">
        <v>113</v>
      </c>
      <c r="B4" s="12" t="s">
        <v>114</v>
      </c>
      <c r="C4" s="12" t="s">
        <v>115</v>
      </c>
      <c r="D4" s="3" t="s">
        <v>116</v>
      </c>
      <c r="E4" s="3" t="s">
        <v>117</v>
      </c>
    </row>
    <row r="5" customFormat="false" ht="15" hidden="false" customHeight="false" outlineLevel="0" collapsed="false">
      <c r="A5" s="6"/>
      <c r="B5" s="4" t="str">
        <f aca="false">IF(A5="","",COUNTIF('1日目 10-31'!$D$6:$E$20,A5))</f>
        <v/>
      </c>
      <c r="C5" s="4" t="str">
        <f aca="false">IF(A5="","",COUNTIF('2日目 11-1'!$D$6:$E$20,A5))</f>
        <v/>
      </c>
      <c r="D5" s="4" t="str">
        <f aca="false">IF(A5="","",B5+C5)</f>
        <v/>
      </c>
      <c r="E5" s="7" t="str">
        <f aca="false">IF(A5="","",IF(D5=0,"未配置",IF(OR(B5&gt;1,C5&gt;1),"同じ日に2回","")))</f>
        <v/>
      </c>
    </row>
    <row r="6" customFormat="false" ht="15" hidden="false" customHeight="false" outlineLevel="0" collapsed="false">
      <c r="A6" s="6"/>
      <c r="B6" s="4" t="str">
        <f aca="false">IF(A6="","",COUNTIF('1日目 10-31'!$D$6:$E$20,A6))</f>
        <v/>
      </c>
      <c r="C6" s="4" t="str">
        <f aca="false">IF(A6="","",COUNTIF('2日目 11-1'!$D$6:$E$20,A6))</f>
        <v/>
      </c>
      <c r="D6" s="4" t="str">
        <f aca="false">IF(A6="","",B6+C6)</f>
        <v/>
      </c>
      <c r="E6" s="7" t="str">
        <f aca="false">IF(A6="","",IF(D6=0,"未配置",IF(OR(B6&gt;1,C6&gt;1),"同じ日に2回","")))</f>
        <v/>
      </c>
    </row>
    <row r="7" customFormat="false" ht="15" hidden="false" customHeight="false" outlineLevel="0" collapsed="false">
      <c r="A7" s="6"/>
      <c r="B7" s="4" t="str">
        <f aca="false">IF(A7="","",COUNTIF('1日目 10-31'!$D$6:$E$20,A7))</f>
        <v/>
      </c>
      <c r="C7" s="4" t="str">
        <f aca="false">IF(A7="","",COUNTIF('2日目 11-1'!$D$6:$E$20,A7))</f>
        <v/>
      </c>
      <c r="D7" s="4" t="str">
        <f aca="false">IF(A7="","",B7+C7)</f>
        <v/>
      </c>
      <c r="E7" s="7" t="str">
        <f aca="false">IF(A7="","",IF(D7=0,"未配置",IF(OR(B7&gt;1,C7&gt;1),"同じ日に2回","")))</f>
        <v/>
      </c>
    </row>
    <row r="8" customFormat="false" ht="15" hidden="false" customHeight="false" outlineLevel="0" collapsed="false">
      <c r="A8" s="6"/>
      <c r="B8" s="4" t="str">
        <f aca="false">IF(A8="","",COUNTIF('1日目 10-31'!$D$6:$E$20,A8))</f>
        <v/>
      </c>
      <c r="C8" s="4" t="str">
        <f aca="false">IF(A8="","",COUNTIF('2日目 11-1'!$D$6:$E$20,A8))</f>
        <v/>
      </c>
      <c r="D8" s="4" t="str">
        <f aca="false">IF(A8="","",B8+C8)</f>
        <v/>
      </c>
      <c r="E8" s="7" t="str">
        <f aca="false">IF(A8="","",IF(D8=0,"未配置",IF(OR(B8&gt;1,C8&gt;1),"同じ日に2回","")))</f>
        <v/>
      </c>
    </row>
    <row r="9" customFormat="false" ht="15" hidden="false" customHeight="false" outlineLevel="0" collapsed="false">
      <c r="A9" s="6"/>
      <c r="B9" s="4" t="str">
        <f aca="false">IF(A9="","",COUNTIF('1日目 10-31'!$D$6:$E$20,A9))</f>
        <v/>
      </c>
      <c r="C9" s="4" t="str">
        <f aca="false">IF(A9="","",COUNTIF('2日目 11-1'!$D$6:$E$20,A9))</f>
        <v/>
      </c>
      <c r="D9" s="4" t="str">
        <f aca="false">IF(A9="","",B9+C9)</f>
        <v/>
      </c>
      <c r="E9" s="7" t="str">
        <f aca="false">IF(A9="","",IF(D9=0,"未配置",IF(OR(B9&gt;1,C9&gt;1),"同じ日に2回","")))</f>
        <v/>
      </c>
    </row>
    <row r="10" customFormat="false" ht="15" hidden="false" customHeight="false" outlineLevel="0" collapsed="false">
      <c r="A10" s="6"/>
      <c r="B10" s="4" t="str">
        <f aca="false">IF(A10="","",COUNTIF('1日目 10-31'!$D$6:$E$20,A10))</f>
        <v/>
      </c>
      <c r="C10" s="4" t="str">
        <f aca="false">IF(A10="","",COUNTIF('2日目 11-1'!$D$6:$E$20,A10))</f>
        <v/>
      </c>
      <c r="D10" s="4" t="str">
        <f aca="false">IF(A10="","",B10+C10)</f>
        <v/>
      </c>
      <c r="E10" s="7" t="str">
        <f aca="false">IF(A10="","",IF(D10=0,"未配置",IF(OR(B10&gt;1,C10&gt;1),"同じ日に2回","")))</f>
        <v/>
      </c>
    </row>
    <row r="11" customFormat="false" ht="15" hidden="false" customHeight="false" outlineLevel="0" collapsed="false">
      <c r="A11" s="6"/>
      <c r="B11" s="4" t="str">
        <f aca="false">IF(A11="","",COUNTIF('1日目 10-31'!$D$6:$E$20,A11))</f>
        <v/>
      </c>
      <c r="C11" s="4" t="str">
        <f aca="false">IF(A11="","",COUNTIF('2日目 11-1'!$D$6:$E$20,A11))</f>
        <v/>
      </c>
      <c r="D11" s="4" t="str">
        <f aca="false">IF(A11="","",B11+C11)</f>
        <v/>
      </c>
      <c r="E11" s="7" t="str">
        <f aca="false">IF(A11="","",IF(D11=0,"未配置",IF(OR(B11&gt;1,C11&gt;1),"同じ日に2回","")))</f>
        <v/>
      </c>
    </row>
    <row r="12" customFormat="false" ht="15" hidden="false" customHeight="false" outlineLevel="0" collapsed="false">
      <c r="A12" s="6"/>
      <c r="B12" s="4" t="str">
        <f aca="false">IF(A12="","",COUNTIF('1日目 10-31'!$D$6:$E$20,A12))</f>
        <v/>
      </c>
      <c r="C12" s="4" t="str">
        <f aca="false">IF(A12="","",COUNTIF('2日目 11-1'!$D$6:$E$20,A12))</f>
        <v/>
      </c>
      <c r="D12" s="4" t="str">
        <f aca="false">IF(A12="","",B12+C12)</f>
        <v/>
      </c>
      <c r="E12" s="7" t="str">
        <f aca="false">IF(A12="","",IF(D12=0,"未配置",IF(OR(B12&gt;1,C12&gt;1),"同じ日に2回","")))</f>
        <v/>
      </c>
    </row>
    <row r="13" customFormat="false" ht="15" hidden="false" customHeight="false" outlineLevel="0" collapsed="false">
      <c r="A13" s="6"/>
      <c r="B13" s="4" t="str">
        <f aca="false">IF(A13="","",COUNTIF('1日目 10-31'!$D$6:$E$20,A13))</f>
        <v/>
      </c>
      <c r="C13" s="4" t="str">
        <f aca="false">IF(A13="","",COUNTIF('2日目 11-1'!$D$6:$E$20,A13))</f>
        <v/>
      </c>
      <c r="D13" s="4" t="str">
        <f aca="false">IF(A13="","",B13+C13)</f>
        <v/>
      </c>
      <c r="E13" s="7" t="str">
        <f aca="false">IF(A13="","",IF(D13=0,"未配置",IF(OR(B13&gt;1,C13&gt;1),"同じ日に2回","")))</f>
        <v/>
      </c>
    </row>
    <row r="14" customFormat="false" ht="15" hidden="false" customHeight="false" outlineLevel="0" collapsed="false">
      <c r="A14" s="6"/>
      <c r="B14" s="4" t="str">
        <f aca="false">IF(A14="","",COUNTIF('1日目 10-31'!$D$6:$E$20,A14))</f>
        <v/>
      </c>
      <c r="C14" s="4" t="str">
        <f aca="false">IF(A14="","",COUNTIF('2日目 11-1'!$D$6:$E$20,A14))</f>
        <v/>
      </c>
      <c r="D14" s="4" t="str">
        <f aca="false">IF(A14="","",B14+C14)</f>
        <v/>
      </c>
      <c r="E14" s="7" t="str">
        <f aca="false">IF(A14="","",IF(D14=0,"未配置",IF(OR(B14&gt;1,C14&gt;1),"同じ日に2回","")))</f>
        <v/>
      </c>
    </row>
    <row r="15" customFormat="false" ht="15" hidden="false" customHeight="false" outlineLevel="0" collapsed="false">
      <c r="A15" s="6"/>
      <c r="B15" s="4" t="str">
        <f aca="false">IF(A15="","",COUNTIF('1日目 10-31'!$D$6:$E$20,A15))</f>
        <v/>
      </c>
      <c r="C15" s="4" t="str">
        <f aca="false">IF(A15="","",COUNTIF('2日目 11-1'!$D$6:$E$20,A15))</f>
        <v/>
      </c>
      <c r="D15" s="4" t="str">
        <f aca="false">IF(A15="","",B15+C15)</f>
        <v/>
      </c>
      <c r="E15" s="7" t="str">
        <f aca="false">IF(A15="","",IF(D15=0,"未配置",IF(OR(B15&gt;1,C15&gt;1),"同じ日に2回","")))</f>
        <v/>
      </c>
    </row>
    <row r="16" customFormat="false" ht="15" hidden="false" customHeight="false" outlineLevel="0" collapsed="false">
      <c r="A16" s="6"/>
      <c r="B16" s="4" t="str">
        <f aca="false">IF(A16="","",COUNTIF('1日目 10-31'!$D$6:$E$20,A16))</f>
        <v/>
      </c>
      <c r="C16" s="4" t="str">
        <f aca="false">IF(A16="","",COUNTIF('2日目 11-1'!$D$6:$E$20,A16))</f>
        <v/>
      </c>
      <c r="D16" s="4" t="str">
        <f aca="false">IF(A16="","",B16+C16)</f>
        <v/>
      </c>
      <c r="E16" s="7" t="str">
        <f aca="false">IF(A16="","",IF(D16=0,"未配置",IF(OR(B16&gt;1,C16&gt;1),"同じ日に2回","")))</f>
        <v/>
      </c>
    </row>
    <row r="17" customFormat="false" ht="15" hidden="false" customHeight="false" outlineLevel="0" collapsed="false">
      <c r="A17" s="6"/>
      <c r="B17" s="4" t="str">
        <f aca="false">IF(A17="","",COUNTIF('1日目 10-31'!$D$6:$E$20,A17))</f>
        <v/>
      </c>
      <c r="C17" s="4" t="str">
        <f aca="false">IF(A17="","",COUNTIF('2日目 11-1'!$D$6:$E$20,A17))</f>
        <v/>
      </c>
      <c r="D17" s="4" t="str">
        <f aca="false">IF(A17="","",B17+C17)</f>
        <v/>
      </c>
      <c r="E17" s="7" t="str">
        <f aca="false">IF(A17="","",IF(D17=0,"未配置",IF(OR(B17&gt;1,C17&gt;1),"同じ日に2回","")))</f>
        <v/>
      </c>
    </row>
    <row r="18" customFormat="false" ht="15" hidden="false" customHeight="false" outlineLevel="0" collapsed="false">
      <c r="A18" s="6"/>
      <c r="B18" s="4" t="str">
        <f aca="false">IF(A18="","",COUNTIF('1日目 10-31'!$D$6:$E$20,A18))</f>
        <v/>
      </c>
      <c r="C18" s="4" t="str">
        <f aca="false">IF(A18="","",COUNTIF('2日目 11-1'!$D$6:$E$20,A18))</f>
        <v/>
      </c>
      <c r="D18" s="4" t="str">
        <f aca="false">IF(A18="","",B18+C18)</f>
        <v/>
      </c>
      <c r="E18" s="7" t="str">
        <f aca="false">IF(A18="","",IF(D18=0,"未配置",IF(OR(B18&gt;1,C18&gt;1),"同じ日に2回","")))</f>
        <v/>
      </c>
    </row>
    <row r="19" customFormat="false" ht="15" hidden="false" customHeight="false" outlineLevel="0" collapsed="false">
      <c r="A19" s="6"/>
      <c r="B19" s="4" t="str">
        <f aca="false">IF(A19="","",COUNTIF('1日目 10-31'!$D$6:$E$20,A19))</f>
        <v/>
      </c>
      <c r="C19" s="4" t="str">
        <f aca="false">IF(A19="","",COUNTIF('2日目 11-1'!$D$6:$E$20,A19))</f>
        <v/>
      </c>
      <c r="D19" s="4" t="str">
        <f aca="false">IF(A19="","",B19+C19)</f>
        <v/>
      </c>
      <c r="E19" s="7" t="str">
        <f aca="false">IF(A19="","",IF(D19=0,"未配置",IF(OR(B19&gt;1,C19&gt;1),"同じ日に2回","")))</f>
        <v/>
      </c>
    </row>
    <row r="20" customFormat="false" ht="15" hidden="false" customHeight="false" outlineLevel="0" collapsed="false">
      <c r="A20" s="6"/>
      <c r="B20" s="4" t="str">
        <f aca="false">IF(A20="","",COUNTIF('1日目 10-31'!$D$6:$E$20,A20))</f>
        <v/>
      </c>
      <c r="C20" s="4" t="str">
        <f aca="false">IF(A20="","",COUNTIF('2日目 11-1'!$D$6:$E$20,A20))</f>
        <v/>
      </c>
      <c r="D20" s="4" t="str">
        <f aca="false">IF(A20="","",B20+C20)</f>
        <v/>
      </c>
      <c r="E20" s="7" t="str">
        <f aca="false">IF(A20="","",IF(D20=0,"未配置",IF(OR(B20&gt;1,C20&gt;1),"同じ日に2回","")))</f>
        <v/>
      </c>
    </row>
    <row r="21" customFormat="false" ht="15" hidden="false" customHeight="false" outlineLevel="0" collapsed="false">
      <c r="A21" s="6"/>
      <c r="B21" s="4" t="str">
        <f aca="false">IF(A21="","",COUNTIF('1日目 10-31'!$D$6:$E$20,A21))</f>
        <v/>
      </c>
      <c r="C21" s="4" t="str">
        <f aca="false">IF(A21="","",COUNTIF('2日目 11-1'!$D$6:$E$20,A21))</f>
        <v/>
      </c>
      <c r="D21" s="4" t="str">
        <f aca="false">IF(A21="","",B21+C21)</f>
        <v/>
      </c>
      <c r="E21" s="7" t="str">
        <f aca="false">IF(A21="","",IF(D21=0,"未配置",IF(OR(B21&gt;1,C21&gt;1),"同じ日に2回","")))</f>
        <v/>
      </c>
    </row>
    <row r="22" customFormat="false" ht="15" hidden="false" customHeight="false" outlineLevel="0" collapsed="false">
      <c r="A22" s="6"/>
      <c r="B22" s="4" t="str">
        <f aca="false">IF(A22="","",COUNTIF('1日目 10-31'!$D$6:$E$20,A22))</f>
        <v/>
      </c>
      <c r="C22" s="4" t="str">
        <f aca="false">IF(A22="","",COUNTIF('2日目 11-1'!$D$6:$E$20,A22))</f>
        <v/>
      </c>
      <c r="D22" s="4" t="str">
        <f aca="false">IF(A22="","",B22+C22)</f>
        <v/>
      </c>
      <c r="E22" s="7" t="str">
        <f aca="false">IF(A22="","",IF(D22=0,"未配置",IF(OR(B22&gt;1,C22&gt;1),"同じ日に2回","")))</f>
        <v/>
      </c>
    </row>
    <row r="23" customFormat="false" ht="15" hidden="false" customHeight="false" outlineLevel="0" collapsed="false">
      <c r="A23" s="6"/>
      <c r="B23" s="4" t="str">
        <f aca="false">IF(A23="","",COUNTIF('1日目 10-31'!$D$6:$E$20,A23))</f>
        <v/>
      </c>
      <c r="C23" s="4" t="str">
        <f aca="false">IF(A23="","",COUNTIF('2日目 11-1'!$D$6:$E$20,A23))</f>
        <v/>
      </c>
      <c r="D23" s="4" t="str">
        <f aca="false">IF(A23="","",B23+C23)</f>
        <v/>
      </c>
      <c r="E23" s="7" t="str">
        <f aca="false">IF(A23="","",IF(D23=0,"未配置",IF(OR(B23&gt;1,C23&gt;1),"同じ日に2回","")))</f>
        <v/>
      </c>
    </row>
    <row r="24" customFormat="false" ht="15" hidden="false" customHeight="false" outlineLevel="0" collapsed="false">
      <c r="A24" s="6"/>
      <c r="B24" s="4" t="str">
        <f aca="false">IF(A24="","",COUNTIF('1日目 10-31'!$D$6:$E$20,A24))</f>
        <v/>
      </c>
      <c r="C24" s="4" t="str">
        <f aca="false">IF(A24="","",COUNTIF('2日目 11-1'!$D$6:$E$20,A24))</f>
        <v/>
      </c>
      <c r="D24" s="4" t="str">
        <f aca="false">IF(A24="","",B24+C24)</f>
        <v/>
      </c>
      <c r="E24" s="7" t="str">
        <f aca="false">IF(A24="","",IF(D24=0,"未配置",IF(OR(B24&gt;1,C24&gt;1),"同じ日に2回","")))</f>
        <v/>
      </c>
    </row>
    <row r="25" customFormat="false" ht="15" hidden="false" customHeight="false" outlineLevel="0" collapsed="false">
      <c r="A25" s="6"/>
      <c r="B25" s="4" t="str">
        <f aca="false">IF(A25="","",COUNTIF('1日目 10-31'!$D$6:$E$20,A25))</f>
        <v/>
      </c>
      <c r="C25" s="4" t="str">
        <f aca="false">IF(A25="","",COUNTIF('2日目 11-1'!$D$6:$E$20,A25))</f>
        <v/>
      </c>
      <c r="D25" s="4" t="str">
        <f aca="false">IF(A25="","",B25+C25)</f>
        <v/>
      </c>
      <c r="E25" s="7" t="str">
        <f aca="false">IF(A25="","",IF(D25=0,"未配置",IF(OR(B25&gt;1,C25&gt;1),"同じ日に2回","")))</f>
        <v/>
      </c>
    </row>
    <row r="26" customFormat="false" ht="15" hidden="false" customHeight="false" outlineLevel="0" collapsed="false">
      <c r="A26" s="6"/>
      <c r="B26" s="4" t="str">
        <f aca="false">IF(A26="","",COUNTIF('1日目 10-31'!$D$6:$E$20,A26))</f>
        <v/>
      </c>
      <c r="C26" s="4" t="str">
        <f aca="false">IF(A26="","",COUNTIF('2日目 11-1'!$D$6:$E$20,A26))</f>
        <v/>
      </c>
      <c r="D26" s="4" t="str">
        <f aca="false">IF(A26="","",B26+C26)</f>
        <v/>
      </c>
      <c r="E26" s="7" t="str">
        <f aca="false">IF(A26="","",IF(D26=0,"未配置",IF(OR(B26&gt;1,C26&gt;1),"同じ日に2回","")))</f>
        <v/>
      </c>
    </row>
    <row r="27" customFormat="false" ht="15" hidden="false" customHeight="false" outlineLevel="0" collapsed="false">
      <c r="A27" s="6"/>
      <c r="B27" s="4" t="str">
        <f aca="false">IF(A27="","",COUNTIF('1日目 10-31'!$D$6:$E$20,A27))</f>
        <v/>
      </c>
      <c r="C27" s="4" t="str">
        <f aca="false">IF(A27="","",COUNTIF('2日目 11-1'!$D$6:$E$20,A27))</f>
        <v/>
      </c>
      <c r="D27" s="4" t="str">
        <f aca="false">IF(A27="","",B27+C27)</f>
        <v/>
      </c>
      <c r="E27" s="7" t="str">
        <f aca="false">IF(A27="","",IF(D27=0,"未配置",IF(OR(B27&gt;1,C27&gt;1),"同じ日に2回","")))</f>
        <v/>
      </c>
    </row>
    <row r="28" customFormat="false" ht="15" hidden="false" customHeight="false" outlineLevel="0" collapsed="false">
      <c r="A28" s="6"/>
      <c r="B28" s="4" t="str">
        <f aca="false">IF(A28="","",COUNTIF('1日目 10-31'!$D$6:$E$20,A28))</f>
        <v/>
      </c>
      <c r="C28" s="4" t="str">
        <f aca="false">IF(A28="","",COUNTIF('2日目 11-1'!$D$6:$E$20,A28))</f>
        <v/>
      </c>
      <c r="D28" s="4" t="str">
        <f aca="false">IF(A28="","",B28+C28)</f>
        <v/>
      </c>
      <c r="E28" s="7" t="str">
        <f aca="false">IF(A28="","",IF(D28=0,"未配置",IF(OR(B28&gt;1,C28&gt;1),"同じ日に2回","")))</f>
        <v/>
      </c>
    </row>
    <row r="29" customFormat="false" ht="15" hidden="false" customHeight="false" outlineLevel="0" collapsed="false">
      <c r="A29" s="6"/>
      <c r="B29" s="4" t="str">
        <f aca="false">IF(A29="","",COUNTIF('1日目 10-31'!$D$6:$E$20,A29))</f>
        <v/>
      </c>
      <c r="C29" s="4" t="str">
        <f aca="false">IF(A29="","",COUNTIF('2日目 11-1'!$D$6:$E$20,A29))</f>
        <v/>
      </c>
      <c r="D29" s="4" t="str">
        <f aca="false">IF(A29="","",B29+C29)</f>
        <v/>
      </c>
      <c r="E29" s="7" t="str">
        <f aca="false">IF(A29="","",IF(D29=0,"未配置",IF(OR(B29&gt;1,C29&gt;1),"同じ日に2回","")))</f>
        <v/>
      </c>
    </row>
    <row r="30" customFormat="false" ht="15" hidden="false" customHeight="false" outlineLevel="0" collapsed="false">
      <c r="A30" s="6"/>
      <c r="B30" s="4" t="str">
        <f aca="false">IF(A30="","",COUNTIF('1日目 10-31'!$D$6:$E$20,A30))</f>
        <v/>
      </c>
      <c r="C30" s="4" t="str">
        <f aca="false">IF(A30="","",COUNTIF('2日目 11-1'!$D$6:$E$20,A30))</f>
        <v/>
      </c>
      <c r="D30" s="4" t="str">
        <f aca="false">IF(A30="","",B30+C30)</f>
        <v/>
      </c>
      <c r="E30" s="7" t="str">
        <f aca="false">IF(A30="","",IF(D30=0,"未配置",IF(OR(B30&gt;1,C30&gt;1),"同じ日に2回","")))</f>
        <v/>
      </c>
    </row>
    <row r="31" customFormat="false" ht="15" hidden="false" customHeight="false" outlineLevel="0" collapsed="false">
      <c r="A31" s="6"/>
      <c r="B31" s="4" t="str">
        <f aca="false">IF(A31="","",COUNTIF('1日目 10-31'!$D$6:$E$20,A31))</f>
        <v/>
      </c>
      <c r="C31" s="4" t="str">
        <f aca="false">IF(A31="","",COUNTIF('2日目 11-1'!$D$6:$E$20,A31))</f>
        <v/>
      </c>
      <c r="D31" s="4" t="str">
        <f aca="false">IF(A31="","",B31+C31)</f>
        <v/>
      </c>
      <c r="E31" s="7" t="str">
        <f aca="false">IF(A31="","",IF(D31=0,"未配置",IF(OR(B31&gt;1,C31&gt;1),"同じ日に2回","")))</f>
        <v/>
      </c>
    </row>
    <row r="32" customFormat="false" ht="15" hidden="false" customHeight="false" outlineLevel="0" collapsed="false">
      <c r="A32" s="6"/>
      <c r="B32" s="4" t="str">
        <f aca="false">IF(A32="","",COUNTIF('1日目 10-31'!$D$6:$E$20,A32))</f>
        <v/>
      </c>
      <c r="C32" s="4" t="str">
        <f aca="false">IF(A32="","",COUNTIF('2日目 11-1'!$D$6:$E$20,A32))</f>
        <v/>
      </c>
      <c r="D32" s="4" t="str">
        <f aca="false">IF(A32="","",B32+C32)</f>
        <v/>
      </c>
      <c r="E32" s="7" t="str">
        <f aca="false">IF(A32="","",IF(D32=0,"未配置",IF(OR(B32&gt;1,C32&gt;1),"同じ日に2回","")))</f>
        <v/>
      </c>
    </row>
    <row r="33" customFormat="false" ht="15" hidden="false" customHeight="false" outlineLevel="0" collapsed="false">
      <c r="A33" s="6"/>
      <c r="B33" s="4" t="str">
        <f aca="false">IF(A33="","",COUNTIF('1日目 10-31'!$D$6:$E$20,A33))</f>
        <v/>
      </c>
      <c r="C33" s="4" t="str">
        <f aca="false">IF(A33="","",COUNTIF('2日目 11-1'!$D$6:$E$20,A33))</f>
        <v/>
      </c>
      <c r="D33" s="4" t="str">
        <f aca="false">IF(A33="","",B33+C33)</f>
        <v/>
      </c>
      <c r="E33" s="7" t="str">
        <f aca="false">IF(A33="","",IF(D33=0,"未配置",IF(OR(B33&gt;1,C33&gt;1),"同じ日に2回","")))</f>
        <v/>
      </c>
    </row>
    <row r="34" customFormat="false" ht="15" hidden="false" customHeight="false" outlineLevel="0" collapsed="false">
      <c r="A34" s="6"/>
      <c r="B34" s="4" t="str">
        <f aca="false">IF(A34="","",COUNTIF('1日目 10-31'!$D$6:$E$20,A34))</f>
        <v/>
      </c>
      <c r="C34" s="4" t="str">
        <f aca="false">IF(A34="","",COUNTIF('2日目 11-1'!$D$6:$E$20,A34))</f>
        <v/>
      </c>
      <c r="D34" s="4" t="str">
        <f aca="false">IF(A34="","",B34+C34)</f>
        <v/>
      </c>
      <c r="E34" s="7" t="str">
        <f aca="false">IF(A34="","",IF(D34=0,"未配置",IF(OR(B34&gt;1,C34&gt;1),"同じ日に2回","")))</f>
        <v/>
      </c>
    </row>
    <row r="35" customFormat="false" ht="15" hidden="false" customHeight="false" outlineLevel="0" collapsed="false">
      <c r="A35" s="6"/>
      <c r="B35" s="4" t="str">
        <f aca="false">IF(A35="","",COUNTIF('1日目 10-31'!$D$6:$E$20,A35))</f>
        <v/>
      </c>
      <c r="C35" s="4" t="str">
        <f aca="false">IF(A35="","",COUNTIF('2日目 11-1'!$D$6:$E$20,A35))</f>
        <v/>
      </c>
      <c r="D35" s="4" t="str">
        <f aca="false">IF(A35="","",B35+C35)</f>
        <v/>
      </c>
      <c r="E35" s="7" t="str">
        <f aca="false">IF(A35="","",IF(D35=0,"未配置",IF(OR(B35&gt;1,C35&gt;1),"同じ日に2回","")))</f>
        <v/>
      </c>
    </row>
    <row r="36" customFormat="false" ht="15" hidden="false" customHeight="false" outlineLevel="0" collapsed="false">
      <c r="A36" s="6"/>
      <c r="B36" s="4" t="str">
        <f aca="false">IF(A36="","",COUNTIF('1日目 10-31'!$D$6:$E$20,A36))</f>
        <v/>
      </c>
      <c r="C36" s="4" t="str">
        <f aca="false">IF(A36="","",COUNTIF('2日目 11-1'!$D$6:$E$20,A36))</f>
        <v/>
      </c>
      <c r="D36" s="4" t="str">
        <f aca="false">IF(A36="","",B36+C36)</f>
        <v/>
      </c>
      <c r="E36" s="7" t="str">
        <f aca="false">IF(A36="","",IF(D36=0,"未配置",IF(OR(B36&gt;1,C36&gt;1),"同じ日に2回","")))</f>
        <v/>
      </c>
    </row>
    <row r="37" customFormat="false" ht="15" hidden="false" customHeight="false" outlineLevel="0" collapsed="false">
      <c r="A37" s="6"/>
      <c r="B37" s="4" t="str">
        <f aca="false">IF(A37="","",COUNTIF('1日目 10-31'!$D$6:$E$20,A37))</f>
        <v/>
      </c>
      <c r="C37" s="4" t="str">
        <f aca="false">IF(A37="","",COUNTIF('2日目 11-1'!$D$6:$E$20,A37))</f>
        <v/>
      </c>
      <c r="D37" s="4" t="str">
        <f aca="false">IF(A37="","",B37+C37)</f>
        <v/>
      </c>
      <c r="E37" s="7" t="str">
        <f aca="false">IF(A37="","",IF(D37=0,"未配置",IF(OR(B37&gt;1,C37&gt;1),"同じ日に2回","")))</f>
        <v/>
      </c>
    </row>
    <row r="38" customFormat="false" ht="15" hidden="false" customHeight="false" outlineLevel="0" collapsed="false">
      <c r="A38" s="6"/>
      <c r="B38" s="4" t="str">
        <f aca="false">IF(A38="","",COUNTIF('1日目 10-31'!$D$6:$E$20,A38))</f>
        <v/>
      </c>
      <c r="C38" s="4" t="str">
        <f aca="false">IF(A38="","",COUNTIF('2日目 11-1'!$D$6:$E$20,A38))</f>
        <v/>
      </c>
      <c r="D38" s="4" t="str">
        <f aca="false">IF(A38="","",B38+C38)</f>
        <v/>
      </c>
      <c r="E38" s="7" t="str">
        <f aca="false">IF(A38="","",IF(D38=0,"未配置",IF(OR(B38&gt;1,C38&gt;1),"同じ日に2回","")))</f>
        <v/>
      </c>
    </row>
    <row r="39" customFormat="false" ht="15" hidden="false" customHeight="false" outlineLevel="0" collapsed="false">
      <c r="A39" s="6"/>
      <c r="B39" s="4" t="str">
        <f aca="false">IF(A39="","",COUNTIF('1日目 10-31'!$D$6:$E$20,A39))</f>
        <v/>
      </c>
      <c r="C39" s="4" t="str">
        <f aca="false">IF(A39="","",COUNTIF('2日目 11-1'!$D$6:$E$20,A39))</f>
        <v/>
      </c>
      <c r="D39" s="4" t="str">
        <f aca="false">IF(A39="","",B39+C39)</f>
        <v/>
      </c>
      <c r="E39" s="7" t="str">
        <f aca="false">IF(A39="","",IF(D39=0,"未配置",IF(OR(B39&gt;1,C39&gt;1),"同じ日に2回","")))</f>
        <v/>
      </c>
    </row>
    <row r="40" customFormat="false" ht="15" hidden="false" customHeight="false" outlineLevel="0" collapsed="false">
      <c r="A40" s="6"/>
      <c r="B40" s="4" t="str">
        <f aca="false">IF(A40="","",COUNTIF('1日目 10-31'!$D$6:$E$20,A40))</f>
        <v/>
      </c>
      <c r="C40" s="4" t="str">
        <f aca="false">IF(A40="","",COUNTIF('2日目 11-1'!$D$6:$E$20,A40))</f>
        <v/>
      </c>
      <c r="D40" s="4" t="str">
        <f aca="false">IF(A40="","",B40+C40)</f>
        <v/>
      </c>
      <c r="E40" s="7" t="str">
        <f aca="false">IF(A40="","",IF(D40=0,"未配置",IF(OR(B40&gt;1,C40&gt;1),"同じ日に2回","")))</f>
        <v/>
      </c>
    </row>
    <row r="41" customFormat="false" ht="15" hidden="false" customHeight="false" outlineLevel="0" collapsed="false">
      <c r="A41" s="6"/>
      <c r="B41" s="4" t="str">
        <f aca="false">IF(A41="","",COUNTIF('1日目 10-31'!$D$6:$E$20,A41))</f>
        <v/>
      </c>
      <c r="C41" s="4" t="str">
        <f aca="false">IF(A41="","",COUNTIF('2日目 11-1'!$D$6:$E$20,A41))</f>
        <v/>
      </c>
      <c r="D41" s="4" t="str">
        <f aca="false">IF(A41="","",B41+C41)</f>
        <v/>
      </c>
      <c r="E41" s="7" t="str">
        <f aca="false">IF(A41="","",IF(D41=0,"未配置",IF(OR(B41&gt;1,C41&gt;1),"同じ日に2回","")))</f>
        <v/>
      </c>
    </row>
    <row r="42" customFormat="false" ht="15" hidden="false" customHeight="false" outlineLevel="0" collapsed="false">
      <c r="A42" s="6"/>
      <c r="B42" s="4" t="str">
        <f aca="false">IF(A42="","",COUNTIF('1日目 10-31'!$D$6:$E$20,A42))</f>
        <v/>
      </c>
      <c r="C42" s="4" t="str">
        <f aca="false">IF(A42="","",COUNTIF('2日目 11-1'!$D$6:$E$20,A42))</f>
        <v/>
      </c>
      <c r="D42" s="4" t="str">
        <f aca="false">IF(A42="","",B42+C42)</f>
        <v/>
      </c>
      <c r="E42" s="7" t="str">
        <f aca="false">IF(A42="","",IF(D42=0,"未配置",IF(OR(B42&gt;1,C42&gt;1),"同じ日に2回","")))</f>
        <v/>
      </c>
    </row>
    <row r="43" customFormat="false" ht="15" hidden="false" customHeight="false" outlineLevel="0" collapsed="false">
      <c r="A43" s="6"/>
      <c r="B43" s="4" t="str">
        <f aca="false">IF(A43="","",COUNTIF('1日目 10-31'!$D$6:$E$20,A43))</f>
        <v/>
      </c>
      <c r="C43" s="4" t="str">
        <f aca="false">IF(A43="","",COUNTIF('2日目 11-1'!$D$6:$E$20,A43))</f>
        <v/>
      </c>
      <c r="D43" s="4" t="str">
        <f aca="false">IF(A43="","",B43+C43)</f>
        <v/>
      </c>
      <c r="E43" s="7" t="str">
        <f aca="false">IF(A43="","",IF(D43=0,"未配置",IF(OR(B43&gt;1,C43&gt;1),"同じ日に2回","")))</f>
        <v/>
      </c>
    </row>
    <row r="44" customFormat="false" ht="15" hidden="false" customHeight="false" outlineLevel="0" collapsed="false">
      <c r="A44" s="6"/>
      <c r="B44" s="4" t="str">
        <f aca="false">IF(A44="","",COUNTIF('1日目 10-31'!$D$6:$E$20,A44))</f>
        <v/>
      </c>
      <c r="C44" s="4" t="str">
        <f aca="false">IF(A44="","",COUNTIF('2日目 11-1'!$D$6:$E$20,A44))</f>
        <v/>
      </c>
      <c r="D44" s="4" t="str">
        <f aca="false">IF(A44="","",B44+C44)</f>
        <v/>
      </c>
      <c r="E44" s="7" t="str">
        <f aca="false">IF(A44="","",IF(D44=0,"未配置",IF(OR(B44&gt;1,C44&gt;1),"同じ日に2回","")))</f>
        <v/>
      </c>
    </row>
    <row r="45" customFormat="false" ht="15" hidden="false" customHeight="false" outlineLevel="0" collapsed="false">
      <c r="A45" s="6"/>
      <c r="B45" s="4" t="str">
        <f aca="false">IF(A45="","",COUNTIF('1日目 10-31'!$D$6:$E$20,A45))</f>
        <v/>
      </c>
      <c r="C45" s="4" t="str">
        <f aca="false">IF(A45="","",COUNTIF('2日目 11-1'!$D$6:$E$20,A45))</f>
        <v/>
      </c>
      <c r="D45" s="4" t="str">
        <f aca="false">IF(A45="","",B45+C45)</f>
        <v/>
      </c>
      <c r="E45" s="7" t="str">
        <f aca="false">IF(A45="","",IF(D45=0,"未配置",IF(OR(B45&gt;1,C45&gt;1),"同じ日に2回","")))</f>
        <v/>
      </c>
    </row>
    <row r="46" customFormat="false" ht="15" hidden="false" customHeight="false" outlineLevel="0" collapsed="false">
      <c r="A46" s="6"/>
      <c r="B46" s="4" t="str">
        <f aca="false">IF(A46="","",COUNTIF('1日目 10-31'!$D$6:$E$20,A46))</f>
        <v/>
      </c>
      <c r="C46" s="4" t="str">
        <f aca="false">IF(A46="","",COUNTIF('2日目 11-1'!$D$6:$E$20,A46))</f>
        <v/>
      </c>
      <c r="D46" s="4" t="str">
        <f aca="false">IF(A46="","",B46+C46)</f>
        <v/>
      </c>
      <c r="E46" s="7" t="str">
        <f aca="false">IF(A46="","",IF(D46=0,"未配置",IF(OR(B46&gt;1,C46&gt;1),"同じ日に2回","")))</f>
        <v/>
      </c>
    </row>
    <row r="47" customFormat="false" ht="15" hidden="false" customHeight="false" outlineLevel="0" collapsed="false">
      <c r="A47" s="6"/>
      <c r="B47" s="4" t="str">
        <f aca="false">IF(A47="","",COUNTIF('1日目 10-31'!$D$6:$E$20,A47))</f>
        <v/>
      </c>
      <c r="C47" s="4" t="str">
        <f aca="false">IF(A47="","",COUNTIF('2日目 11-1'!$D$6:$E$20,A47))</f>
        <v/>
      </c>
      <c r="D47" s="4" t="str">
        <f aca="false">IF(A47="","",B47+C47)</f>
        <v/>
      </c>
      <c r="E47" s="7" t="str">
        <f aca="false">IF(A47="","",IF(D47=0,"未配置",IF(OR(B47&gt;1,C47&gt;1),"同じ日に2回","")))</f>
        <v/>
      </c>
    </row>
    <row r="48" customFormat="false" ht="15" hidden="false" customHeight="false" outlineLevel="0" collapsed="false">
      <c r="A48" s="6"/>
      <c r="B48" s="4" t="str">
        <f aca="false">IF(A48="","",COUNTIF('1日目 10-31'!$D$6:$E$20,A48))</f>
        <v/>
      </c>
      <c r="C48" s="4" t="str">
        <f aca="false">IF(A48="","",COUNTIF('2日目 11-1'!$D$6:$E$20,A48))</f>
        <v/>
      </c>
      <c r="D48" s="4" t="str">
        <f aca="false">IF(A48="","",B48+C48)</f>
        <v/>
      </c>
      <c r="E48" s="7" t="str">
        <f aca="false">IF(A48="","",IF(D48=0,"未配置",IF(OR(B48&gt;1,C48&gt;1),"同じ日に2回","")))</f>
        <v/>
      </c>
    </row>
    <row r="49" customFormat="false" ht="15" hidden="false" customHeight="false" outlineLevel="0" collapsed="false">
      <c r="A49" s="6"/>
      <c r="B49" s="4" t="str">
        <f aca="false">IF(A49="","",COUNTIF('1日目 10-31'!$D$6:$E$20,A49))</f>
        <v/>
      </c>
      <c r="C49" s="4" t="str">
        <f aca="false">IF(A49="","",COUNTIF('2日目 11-1'!$D$6:$E$20,A49))</f>
        <v/>
      </c>
      <c r="D49" s="4" t="str">
        <f aca="false">IF(A49="","",B49+C49)</f>
        <v/>
      </c>
      <c r="E49" s="7" t="str">
        <f aca="false">IF(A49="","",IF(D49=0,"未配置",IF(OR(B49&gt;1,C49&gt;1),"同じ日に2回","")))</f>
        <v/>
      </c>
    </row>
    <row r="50" customFormat="false" ht="15" hidden="false" customHeight="false" outlineLevel="0" collapsed="false">
      <c r="A50" s="6"/>
      <c r="B50" s="4" t="str">
        <f aca="false">IF(A50="","",COUNTIF('1日目 10-31'!$D$6:$E$20,A50))</f>
        <v/>
      </c>
      <c r="C50" s="4" t="str">
        <f aca="false">IF(A50="","",COUNTIF('2日目 11-1'!$D$6:$E$20,A50))</f>
        <v/>
      </c>
      <c r="D50" s="4" t="str">
        <f aca="false">IF(A50="","",B50+C50)</f>
        <v/>
      </c>
      <c r="E50" s="7" t="str">
        <f aca="false">IF(A50="","",IF(D50=0,"未配置",IF(OR(B50&gt;1,C50&gt;1),"同じ日に2回","")))</f>
        <v/>
      </c>
    </row>
    <row r="51" customFormat="false" ht="15" hidden="false" customHeight="false" outlineLevel="0" collapsed="false">
      <c r="A51" s="6"/>
      <c r="B51" s="4" t="str">
        <f aca="false">IF(A51="","",COUNTIF('1日目 10-31'!$D$6:$E$20,A51))</f>
        <v/>
      </c>
      <c r="C51" s="4" t="str">
        <f aca="false">IF(A51="","",COUNTIF('2日目 11-1'!$D$6:$E$20,A51))</f>
        <v/>
      </c>
      <c r="D51" s="4" t="str">
        <f aca="false">IF(A51="","",B51+C51)</f>
        <v/>
      </c>
      <c r="E51" s="7" t="str">
        <f aca="false">IF(A51="","",IF(D51=0,"未配置",IF(OR(B51&gt;1,C51&gt;1),"同じ日に2回","")))</f>
        <v/>
      </c>
    </row>
    <row r="52" customFormat="false" ht="15" hidden="false" customHeight="false" outlineLevel="0" collapsed="false">
      <c r="A52" s="6"/>
      <c r="B52" s="4" t="str">
        <f aca="false">IF(A52="","",COUNTIF('1日目 10-31'!$D$6:$E$20,A52))</f>
        <v/>
      </c>
      <c r="C52" s="4" t="str">
        <f aca="false">IF(A52="","",COUNTIF('2日目 11-1'!$D$6:$E$20,A52))</f>
        <v/>
      </c>
      <c r="D52" s="4" t="str">
        <f aca="false">IF(A52="","",B52+C52)</f>
        <v/>
      </c>
      <c r="E52" s="7" t="str">
        <f aca="false">IF(A52="","",IF(D52=0,"未配置",IF(OR(B52&gt;1,C52&gt;1),"同じ日に2回","")))</f>
        <v/>
      </c>
    </row>
    <row r="53" customFormat="false" ht="15" hidden="false" customHeight="false" outlineLevel="0" collapsed="false">
      <c r="A53" s="6"/>
      <c r="B53" s="4" t="str">
        <f aca="false">IF(A53="","",COUNTIF('1日目 10-31'!$D$6:$E$20,A53))</f>
        <v/>
      </c>
      <c r="C53" s="4" t="str">
        <f aca="false">IF(A53="","",COUNTIF('2日目 11-1'!$D$6:$E$20,A53))</f>
        <v/>
      </c>
      <c r="D53" s="4" t="str">
        <f aca="false">IF(A53="","",B53+C53)</f>
        <v/>
      </c>
      <c r="E53" s="7" t="str">
        <f aca="false">IF(A53="","",IF(D53=0,"未配置",IF(OR(B53&gt;1,C53&gt;1),"同じ日に2回","")))</f>
        <v/>
      </c>
    </row>
    <row r="54" customFormat="false" ht="15" hidden="false" customHeight="false" outlineLevel="0" collapsed="false">
      <c r="A54" s="6"/>
      <c r="B54" s="4" t="str">
        <f aca="false">IF(A54="","",COUNTIF('1日目 10-31'!$D$6:$E$20,A54))</f>
        <v/>
      </c>
      <c r="C54" s="4" t="str">
        <f aca="false">IF(A54="","",COUNTIF('2日目 11-1'!$D$6:$E$20,A54))</f>
        <v/>
      </c>
      <c r="D54" s="4" t="str">
        <f aca="false">IF(A54="","",B54+C54)</f>
        <v/>
      </c>
      <c r="E54" s="7" t="str">
        <f aca="false">IF(A54="","",IF(D54=0,"未配置",IF(OR(B54&gt;1,C54&gt;1),"同じ日に2回","")))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5" min="4" style="0" width="10"/>
  </cols>
  <sheetData>
    <row r="1" customFormat="false" ht="17.35" hidden="false" customHeight="false" outlineLevel="0" collapsed="false">
      <c r="A1" s="14" t="s">
        <v>118</v>
      </c>
    </row>
    <row r="3" customFormat="false" ht="15" hidden="false" customHeight="false" outlineLevel="0" collapsed="false">
      <c r="A3" s="3" t="s">
        <v>3</v>
      </c>
      <c r="B3" s="3" t="s">
        <v>4</v>
      </c>
      <c r="C3" s="3" t="s">
        <v>5</v>
      </c>
      <c r="D3" s="3" t="s">
        <v>119</v>
      </c>
      <c r="E3" s="3" t="s">
        <v>120</v>
      </c>
    </row>
    <row r="4" customFormat="false" ht="33.75" hidden="false" customHeight="true" outlineLevel="0" collapsed="false">
      <c r="A4" s="4" t="s">
        <v>10</v>
      </c>
      <c r="B4" s="5" t="s">
        <v>11</v>
      </c>
      <c r="C4" s="5" t="s">
        <v>12</v>
      </c>
      <c r="D4" s="8" t="s">
        <v>121</v>
      </c>
      <c r="E4" s="4"/>
    </row>
    <row r="5" customFormat="false" ht="33.75" hidden="false" customHeight="true" outlineLevel="0" collapsed="false">
      <c r="A5" s="4" t="s">
        <v>10</v>
      </c>
      <c r="B5" s="5" t="s">
        <v>13</v>
      </c>
      <c r="C5" s="5" t="s">
        <v>14</v>
      </c>
      <c r="D5" s="4"/>
      <c r="E5" s="4"/>
    </row>
    <row r="6" customFormat="false" ht="33.75" hidden="false" customHeight="true" outlineLevel="0" collapsed="false">
      <c r="A6" s="4" t="s">
        <v>15</v>
      </c>
      <c r="B6" s="5" t="s">
        <v>16</v>
      </c>
      <c r="C6" s="5" t="s">
        <v>17</v>
      </c>
      <c r="D6" s="8" t="s">
        <v>121</v>
      </c>
      <c r="E6" s="8" t="s">
        <v>121</v>
      </c>
    </row>
    <row r="7" customFormat="false" ht="33.75" hidden="false" customHeight="true" outlineLevel="0" collapsed="false">
      <c r="A7" s="4" t="s">
        <v>15</v>
      </c>
      <c r="B7" s="5" t="s">
        <v>18</v>
      </c>
      <c r="C7" s="5" t="s">
        <v>19</v>
      </c>
      <c r="D7" s="4"/>
      <c r="E7" s="4"/>
    </row>
    <row r="8" customFormat="false" ht="33.75" hidden="false" customHeight="true" outlineLevel="0" collapsed="false">
      <c r="A8" s="8" t="s">
        <v>20</v>
      </c>
      <c r="B8" s="5" t="s">
        <v>21</v>
      </c>
      <c r="C8" s="5" t="s">
        <v>22</v>
      </c>
      <c r="D8" s="4"/>
      <c r="E8" s="4"/>
    </row>
    <row r="9" customFormat="false" ht="33.75" hidden="false" customHeight="true" outlineLevel="0" collapsed="false">
      <c r="A9" s="8" t="s">
        <v>20</v>
      </c>
      <c r="B9" s="5" t="s">
        <v>23</v>
      </c>
      <c r="C9" s="5" t="s">
        <v>24</v>
      </c>
      <c r="D9" s="8" t="s">
        <v>121</v>
      </c>
      <c r="E9" s="8" t="s">
        <v>121</v>
      </c>
    </row>
    <row r="10" customFormat="false" ht="33.75" hidden="false" customHeight="true" outlineLevel="0" collapsed="false">
      <c r="A10" s="8" t="s">
        <v>20</v>
      </c>
      <c r="B10" s="5" t="s">
        <v>25</v>
      </c>
      <c r="C10" s="5" t="s">
        <v>26</v>
      </c>
      <c r="D10" s="8" t="s">
        <v>121</v>
      </c>
      <c r="E10" s="4"/>
    </row>
    <row r="11" customFormat="false" ht="33.75" hidden="false" customHeight="true" outlineLevel="0" collapsed="false">
      <c r="A11" s="8" t="s">
        <v>27</v>
      </c>
      <c r="B11" s="5" t="s">
        <v>28</v>
      </c>
      <c r="C11" s="5" t="s">
        <v>29</v>
      </c>
      <c r="D11" s="4"/>
      <c r="E11" s="4"/>
    </row>
    <row r="12" customFormat="false" ht="33.75" hidden="false" customHeight="true" outlineLevel="0" collapsed="false">
      <c r="A12" s="8" t="s">
        <v>27</v>
      </c>
      <c r="B12" s="5" t="s">
        <v>30</v>
      </c>
      <c r="C12" s="5" t="s">
        <v>24</v>
      </c>
      <c r="D12" s="8" t="s">
        <v>121</v>
      </c>
      <c r="E12" s="8" t="s">
        <v>121</v>
      </c>
    </row>
    <row r="13" customFormat="false" ht="33.75" hidden="false" customHeight="true" outlineLevel="0" collapsed="false">
      <c r="A13" s="8" t="s">
        <v>27</v>
      </c>
      <c r="B13" s="5" t="s">
        <v>31</v>
      </c>
      <c r="C13" s="5" t="s">
        <v>32</v>
      </c>
      <c r="D13" s="8" t="s">
        <v>121</v>
      </c>
      <c r="E13" s="4"/>
    </row>
    <row r="14" customFormat="false" ht="33.75" hidden="false" customHeight="true" outlineLevel="0" collapsed="false">
      <c r="A14" s="8" t="s">
        <v>27</v>
      </c>
      <c r="B14" s="5" t="s">
        <v>33</v>
      </c>
      <c r="C14" s="5" t="s">
        <v>34</v>
      </c>
      <c r="D14" s="8" t="s">
        <v>121</v>
      </c>
      <c r="E14" s="4"/>
    </row>
    <row r="15" customFormat="false" ht="33.75" hidden="false" customHeight="true" outlineLevel="0" collapsed="false">
      <c r="A15" s="8" t="s">
        <v>35</v>
      </c>
      <c r="B15" s="5" t="s">
        <v>36</v>
      </c>
      <c r="C15" s="9" t="s">
        <v>37</v>
      </c>
      <c r="D15" s="4"/>
      <c r="E15" s="4"/>
    </row>
    <row r="16" customFormat="false" ht="33.75" hidden="false" customHeight="true" outlineLevel="0" collapsed="false">
      <c r="A16" s="8" t="s">
        <v>35</v>
      </c>
      <c r="B16" s="5" t="s">
        <v>38</v>
      </c>
      <c r="C16" s="5" t="s">
        <v>39</v>
      </c>
      <c r="D16" s="8" t="s">
        <v>121</v>
      </c>
      <c r="E16" s="8" t="s">
        <v>121</v>
      </c>
    </row>
    <row r="17" customFormat="false" ht="33.75" hidden="false" customHeight="true" outlineLevel="0" collapsed="false">
      <c r="A17" s="8" t="s">
        <v>40</v>
      </c>
      <c r="B17" s="5" t="s">
        <v>41</v>
      </c>
      <c r="C17" s="5" t="s">
        <v>42</v>
      </c>
      <c r="D17" s="8" t="s">
        <v>121</v>
      </c>
      <c r="E17" s="4"/>
    </row>
    <row r="18" customFormat="false" ht="33.75" hidden="false" customHeight="true" outlineLevel="0" collapsed="false">
      <c r="A18" s="4" t="s">
        <v>43</v>
      </c>
      <c r="B18" s="5" t="s">
        <v>44</v>
      </c>
      <c r="C18" s="5" t="s">
        <v>45</v>
      </c>
      <c r="D18" s="8" t="s">
        <v>121</v>
      </c>
      <c r="E18" s="8" t="s">
        <v>121</v>
      </c>
    </row>
    <row r="20" customFormat="false" ht="15" hidden="false" customHeight="false" outlineLevel="0" collapsed="false">
      <c r="A20" s="15" t="s">
        <v>122</v>
      </c>
    </row>
    <row r="21" customFormat="false" ht="15" hidden="false" customHeight="false" outlineLevel="0" collapsed="false">
      <c r="A21" s="15" t="s">
        <v>123</v>
      </c>
    </row>
    <row r="22" customFormat="false" ht="15" hidden="false" customHeight="false" outlineLevel="0" collapsed="false">
      <c r="A22" s="15" t="s">
        <v>124</v>
      </c>
    </row>
    <row r="23" customFormat="false" ht="15" hidden="false" customHeight="false" outlineLevel="0" collapsed="false">
      <c r="A23" s="15" t="s">
        <v>125</v>
      </c>
    </row>
    <row r="24" customFormat="false" ht="15" hidden="false" customHeight="false" outlineLevel="0" collapsed="false">
      <c r="A24" s="15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2026-10-26T05:28:47Z</dcterms:created>
  <dc:creator>openpyxl</dc:creator>
  <dc:description/>
  <dc:language>en-US</dc:language>
  <cp:lastModifiedBy/>
  <dcterms:modified xsi:type="dcterms:W3CDTF">2026-10-26T05:28:47Z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